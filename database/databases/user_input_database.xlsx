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B519D66C-426C-4920-8C50-1DC1700A9F6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put" sheetId="1" r:id="rId1"/>
    <sheet name="Datab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0" i="1" l="1" a="1"/>
  <c r="G60" i="1"/>
  <c r="G36" i="1"/>
  <c r="G22" i="1"/>
  <c r="G6" i="1"/>
  <c r="G31" i="1"/>
  <c r="G30" i="1"/>
  <c r="G29" i="1"/>
  <c r="G46" i="1"/>
  <c r="G44" i="1"/>
  <c r="G47" i="1" s="1"/>
  <c r="G52" i="1"/>
  <c r="G58" i="1"/>
  <c r="G14" i="1"/>
  <c r="G8" i="1" a="1"/>
  <c r="G8" i="1"/>
  <c r="G5" i="1"/>
  <c r="G10" i="1" s="1"/>
  <c r="G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<sst xmlns="http://schemas.openxmlformats.org/spreadsheetml/2006/main" count="817" uniqueCount="346">
  <si>
    <t>User input</t>
  </si>
  <si>
    <t>Input</t>
  </si>
  <si>
    <t xml:space="preserve">Value </t>
  </si>
  <si>
    <t>Unit</t>
  </si>
  <si>
    <t>Sprinklers</t>
  </si>
  <si>
    <t>Yes</t>
  </si>
  <si>
    <t>Yes / No</t>
  </si>
  <si>
    <t>*Sprinkler pipework allowance is not directly prescribed by AS 2118.1. The tool uses an AS-informed sprinkler spacing basis and applies a project-adjustable routing factor for early-stage pipework estimation.</t>
  </si>
  <si>
    <t>NCC building class</t>
  </si>
  <si>
    <t>Sprinkler protected area, m²</t>
  </si>
  <si>
    <t>default = total protected floor area</t>
  </si>
  <si>
    <t>Total building floor area, m²</t>
  </si>
  <si>
    <t>m^2</t>
  </si>
  <si>
    <t>Sprinkler hazard classification</t>
  </si>
  <si>
    <t>Light Hazard / Ordinary Hazard / High Hazard / user-defined</t>
  </si>
  <si>
    <t>Sprinkler pipe length, m</t>
  </si>
  <si>
    <t>Number of storeys</t>
  </si>
  <si>
    <t>storeys</t>
  </si>
  <si>
    <t>Sprinkler coverage basis</t>
  </si>
  <si>
    <t>Full</t>
  </si>
  <si>
    <t>Full / user-defined</t>
  </si>
  <si>
    <t xml:space="preserve">= N_risers × N_storeys × floor-to-floor height + k_sprinkler × protected floor area / √(sprinkler spacing area) </t>
  </si>
  <si>
    <t>Effective height, m</t>
  </si>
  <si>
    <t>m</t>
  </si>
  <si>
    <t>Sprinkler head spacing or area per head</t>
  </si>
  <si>
    <t>default from AS assumption, override allowed</t>
  </si>
  <si>
    <t>Floor-to-floor height, m</t>
  </si>
  <si>
    <t>Pipework allowance</t>
  </si>
  <si>
    <t>default factor, override allowed</t>
  </si>
  <si>
    <t>Number of exits</t>
  </si>
  <si>
    <t>Sprinkler head count</t>
  </si>
  <si>
    <t>Number of stairs</t>
  </si>
  <si>
    <t>Actual sprinkler head count override</t>
  </si>
  <si>
    <t>optional</t>
  </si>
  <si>
    <t>Ordinary Hazard</t>
  </si>
  <si>
    <t>Hose reels</t>
  </si>
  <si>
    <t>System</t>
  </si>
  <si>
    <t>Hose reel served area, m²</t>
  </si>
  <si>
    <t xml:space="preserve">No / Full </t>
  </si>
  <si>
    <t>Hose reel coverage basis</t>
  </si>
  <si>
    <t>?</t>
  </si>
  <si>
    <t>default AS-based coverage / user-defined</t>
  </si>
  <si>
    <t>Hydrants</t>
  </si>
  <si>
    <t>default factor / override</t>
  </si>
  <si>
    <t>Hose reel count</t>
  </si>
  <si>
    <t>Extinguishers</t>
  </si>
  <si>
    <t>Hose reel count override</t>
  </si>
  <si>
    <t>Detection system</t>
  </si>
  <si>
    <t>None / Type</t>
  </si>
  <si>
    <t>`</t>
  </si>
  <si>
    <t>Alarm/warning system</t>
  </si>
  <si>
    <t>Emergency lighting</t>
  </si>
  <si>
    <t>Fire class basis</t>
  </si>
  <si>
    <t>A</t>
  </si>
  <si>
    <t>A / B / C / E / F</t>
  </si>
  <si>
    <t>Exit signs</t>
  </si>
  <si>
    <t>Hazard level</t>
  </si>
  <si>
    <t>Ordinary / high / special risk</t>
  </si>
  <si>
    <t>Extinguisher type</t>
  </si>
  <si>
    <t>ABE powder / CO₂ / foam / wet chemical / water</t>
  </si>
  <si>
    <t>Special risk areas included</t>
  </si>
  <si>
    <t>switch room, kitchen, plant, server room</t>
  </si>
  <si>
    <t>Extinguisher count</t>
  </si>
  <si>
    <t>Extinguisher count override</t>
  </si>
  <si>
    <t>Initial user input</t>
  </si>
  <si>
    <t>Secondary user input</t>
  </si>
  <si>
    <t>Emergency lighting area, m²</t>
  </si>
  <si>
    <t>From Australian Standards</t>
  </si>
  <si>
    <t>from general input</t>
  </si>
  <si>
    <t>Output</t>
  </si>
  <si>
    <t>Optional override</t>
  </si>
  <si>
    <t>Egress corridor allowance</t>
  </si>
  <si>
    <t>Luminaire count override</t>
  </si>
  <si>
    <t>Hydrant served levels</t>
  </si>
  <si>
    <t>all levels / selected levels</t>
  </si>
  <si>
    <t>Number of risers</t>
  </si>
  <si>
    <t>default from stairs/storeys, override allowed</t>
  </si>
  <si>
    <t>Hydrant outlet count</t>
  </si>
  <si>
    <t>default estimate, override allowed</t>
  </si>
  <si>
    <t>Booster included</t>
  </si>
  <si>
    <t>Yes / No / unknown</t>
  </si>
  <si>
    <t>Pump/tank included</t>
  </si>
  <si>
    <t>Pipe length override</t>
  </si>
  <si>
    <t>Number of direction changes</t>
  </si>
  <si>
    <t>Exit sign count</t>
  </si>
  <si>
    <t>Exit sign count override</t>
  </si>
  <si>
    <t>Alarm/warning system type</t>
  </si>
  <si>
    <t>None / Sounders / Speakers / EWIS / Other</t>
  </si>
  <si>
    <t>Warning system type</t>
  </si>
  <si>
    <t>sounders / speakers / EWIS</t>
  </si>
  <si>
    <t>Warning protected area, m²</t>
  </si>
  <si>
    <t>Device coverage basis</t>
  </si>
  <si>
    <t>default allowance / override</t>
  </si>
  <si>
    <t>Visual alarm devices included</t>
  </si>
  <si>
    <t>Alarm device count override</t>
  </si>
  <si>
    <t>Detection system type</t>
  </si>
  <si>
    <t>None / Smoke / Heat / Smoke + heat / Other</t>
  </si>
  <si>
    <t>Detection protected area, m²</t>
  </si>
  <si>
    <t>Detector type</t>
  </si>
  <si>
    <t>Smoke</t>
  </si>
  <si>
    <t>Smoke / Heat / Aspirating</t>
  </si>
  <si>
    <t>Detector spacing or coverage area</t>
  </si>
  <si>
    <t>default AS-based / override</t>
  </si>
  <si>
    <t>Number of zones</t>
  </si>
  <si>
    <t>default by storey / override</t>
  </si>
  <si>
    <t>Manual call points included</t>
  </si>
  <si>
    <t>Detector count override</t>
  </si>
  <si>
    <t>system</t>
  </si>
  <si>
    <t>component</t>
  </si>
  <si>
    <t>parameter</t>
  </si>
  <si>
    <t>option</t>
  </si>
  <si>
    <t>default_value</t>
  </si>
  <si>
    <t>unit</t>
  </si>
  <si>
    <t>evidence_level</t>
  </si>
  <si>
    <t>source_basis</t>
  </si>
  <si>
    <t>override</t>
  </si>
  <si>
    <t>sprinkler</t>
  </si>
  <si>
    <t>sprinkler_head</t>
  </si>
  <si>
    <t>spacing_area</t>
  </si>
  <si>
    <t>Light Hazard</t>
  </si>
  <si>
    <t>m²/head</t>
  </si>
  <si>
    <t>B</t>
  </si>
  <si>
    <t>AS 2118.1 hazard-based spacing, team-confirmed</t>
  </si>
  <si>
    <t>High Hazard</t>
  </si>
  <si>
    <t>count_rounding</t>
  </si>
  <si>
    <t>default</t>
  </si>
  <si>
    <t>ROUNDUP</t>
  </si>
  <si>
    <t>method</t>
  </si>
  <si>
    <t>C</t>
  </si>
  <si>
    <t>Derived quantity formula</t>
  </si>
  <si>
    <t>No</t>
  </si>
  <si>
    <t>quantity_formula</t>
  </si>
  <si>
    <t>ROUNDUP(sprinkler_protected_area / spacing_area, 0)</t>
  </si>
  <si>
    <t>formula</t>
  </si>
  <si>
    <t>AS2118.1 hazard-based spacing area converted to sprinkler head count</t>
  </si>
  <si>
    <t>pump</t>
  </si>
  <si>
    <t>pump_count</t>
  </si>
  <si>
    <t>&lt;25m</t>
  </si>
  <si>
    <t>no</t>
  </si>
  <si>
    <t>D</t>
  </si>
  <si>
    <t>Not included in baseline; pump requirement depends on hydraulic design and available water supply</t>
  </si>
  <si>
    <t>&gt;25m</t>
  </si>
  <si>
    <t>pipework</t>
  </si>
  <si>
    <t>default_risers</t>
  </si>
  <si>
    <t>no.</t>
  </si>
  <si>
    <t>Early-stage assumption</t>
  </si>
  <si>
    <t>pipe_routing_factor</t>
  </si>
  <si>
    <t>low</t>
  </si>
  <si>
    <t>multiplier</t>
  </si>
  <si>
    <t>Layout assumption</t>
  </si>
  <si>
    <t>medium</t>
  </si>
  <si>
    <t>high</t>
  </si>
  <si>
    <t>drop_length_per_head</t>
  </si>
  <si>
    <t>m/head</t>
  </si>
  <si>
    <t>Baseline excludes drops to avoid double-counting</t>
  </si>
  <si>
    <t>vertical_riser_formula</t>
  </si>
  <si>
    <t>risers × storeys × floor_to_floor_height</t>
  </si>
  <si>
    <t>C/D</t>
  </si>
  <si>
    <t>Derived from building geometry</t>
  </si>
  <si>
    <t>horizontal_pipe_formula</t>
  </si>
  <si>
    <t>routing_factor × area / SQRT(spacing_area)</t>
  </si>
  <si>
    <t>Grid-based approximation from sprinkler spacing</t>
  </si>
  <si>
    <t>hydrant</t>
  </si>
  <si>
    <t>hydrant_riser</t>
  </si>
  <si>
    <t>MAX(1, number_of_fire_stairs)</t>
  </si>
  <si>
    <t>Simplified proxy based on internal hydrants commonly being located within or adjacent to fire-isolated exits/fire stairs under AS2419.1 location logic; not a direct AS quantity rule</t>
  </si>
  <si>
    <t>hydrant_outlet</t>
  </si>
  <si>
    <t>MAX(1, number_of_fire_stairs) × number_of_storeys × outlets_per_riser_per_storey</t>
  </si>
  <si>
    <t>Simplified riser-per-storey method using fire stairs as the default riser proxy; actual hydrant layout requires AS2419.1 coverage assessment</t>
  </si>
  <si>
    <t>outlets_per_riser_per_storey</t>
  </si>
  <si>
    <t>no/riser/storey</t>
  </si>
  <si>
    <t>Simplified early-stage assumption for internal hydrant outlets; actual outlet count depends on AS2419.1 coverage and layout</t>
  </si>
  <si>
    <t>booster</t>
  </si>
  <si>
    <t>booster_count</t>
  </si>
  <si>
    <t>IF(hydrants_selected,1,0)</t>
  </si>
  <si>
    <t>Typical hydrant system allowance; final booster arrangement is project-specific</t>
  </si>
  <si>
    <t>&lt;50m</t>
  </si>
  <si>
    <t>&gt;50m</t>
  </si>
  <si>
    <t>hydrant_risers × served_storeys × floor_to_floor_height</t>
  </si>
  <si>
    <t>Geometry-derived vertical hydrant riser allowance</t>
  </si>
  <si>
    <t>horizontal_run_factor</t>
  </si>
  <si>
    <t>Average horizontal run approximated as 0.5 × SQRT(floor_plate_area) where actual routing is unknown</t>
  </si>
  <si>
    <t>hydrant_risers × horizontal_run_factor × SQRT(floor_plate_area)</t>
  </si>
  <si>
    <t>Layout approximation for early-stage pipework estimate from booster/feed to riser zone</t>
  </si>
  <si>
    <t>total_pipe_formula</t>
  </si>
  <si>
    <t>(hydrant_risers × served_storeys × floor_to_floor_height) + (hydrant_risers × horizontal_run_factor × SQRT(floor_plate_area))</t>
  </si>
  <si>
    <t>Vertical riser allowance plus simplified horizontal feed allowance</t>
  </si>
  <si>
    <t>hose_reel</t>
  </si>
  <si>
    <t>hose_length</t>
  </si>
  <si>
    <t>B/C</t>
  </si>
  <si>
    <t>AS2441 system coverage basis - 36 m hose length, verify against AS2441</t>
  </si>
  <si>
    <t>spray_allowance</t>
  </si>
  <si>
    <t>AS2441 system coverage basis - 4 m spray allowance, verify against AS2441</t>
  </si>
  <si>
    <t>effective_reach</t>
  </si>
  <si>
    <t>m path reach</t>
  </si>
  <si>
    <t>AS2441 system coverage basis: 36 m hose + 4 m spray</t>
  </si>
  <si>
    <t>location_basis</t>
  </si>
  <si>
    <t>within 4 m of exit</t>
  </si>
  <si>
    <t>text</t>
  </si>
  <si>
    <t>AS2441 location basis, verify against AS2441</t>
  </si>
  <si>
    <t>min_reels_per_storey</t>
  </si>
  <si>
    <t>no/storey</t>
  </si>
  <si>
    <t>Simplified early-stage allowance where hose reels are selected</t>
  </si>
  <si>
    <t>effective_area_per_reel</t>
  </si>
  <si>
    <t>m^2/reel</t>
  </si>
  <si>
    <t>Estimate from: https://cccengineering.com.au/design-memos/fire-hydrant-hose-reel-requirements/</t>
  </si>
  <si>
    <t>number_of_storeys × MAX(1, ROUNDUP(floor_area_per_storey / effective_area_per_reel, 0))</t>
  </si>
  <si>
    <t>AS2441 40 m system coverage simplified to early-stage area allowance</t>
  </si>
  <si>
    <t>Early-stage assumption unless riser count is known</t>
  </si>
  <si>
    <t>vertical_pipe_formula</t>
  </si>
  <si>
    <t>default_risers × number_of_storeys × floor_to_floor_height</t>
  </si>
  <si>
    <t>Geometry-derived riser allowance</t>
  </si>
  <si>
    <t>Average horizontal run approximated as 0.5 × SQRT(floor_plate_area)</t>
  </si>
  <si>
    <t>hose_reel_count × horizontal_run_factor × SQRT(floor_plate_area)</t>
  </si>
  <si>
    <t>Layout approximation for early-stage pipework estimate</t>
  </si>
  <si>
    <t>(default_risers × number_of_storeys × floor_to_floor_height) + (hose_reel_count × horizontal_run_factor × SQRT(floor_plate_area))</t>
  </si>
  <si>
    <t>Vertical riser allowance plus simplified horizontal distribution allowance</t>
  </si>
  <si>
    <t>nominal_pipe_diameter</t>
  </si>
  <si>
    <t>DN25</t>
  </si>
  <si>
    <t>pipe size</t>
  </si>
  <si>
    <t>AS2441-informed secondary source - hose reel supply pipe minimum DN25, verify against AS2441</t>
  </si>
  <si>
    <t>cabinet</t>
  </si>
  <si>
    <t>cabinet_quantity_formula</t>
  </si>
  <si>
    <t>hose_reel_count</t>
  </si>
  <si>
    <t>Optional cabinet allowance; include only where hose reel cabinets are assumed in carbon database</t>
  </si>
  <si>
    <t>extinguisher</t>
  </si>
  <si>
    <t>portable_extinguisher</t>
  </si>
  <si>
    <t>representative_product</t>
  </si>
  <si>
    <t>Default</t>
  </si>
  <si>
    <t>6 kg powder extinguisher - 34A 233BC</t>
  </si>
  <si>
    <t>type</t>
  </si>
  <si>
    <t>EPD-IES-0019486 product family</t>
  </si>
  <si>
    <t>representative_rating</t>
  </si>
  <si>
    <t>34A 233BC</t>
  </si>
  <si>
    <t>rating</t>
  </si>
  <si>
    <t>EPD-IES-0019486 product identification</t>
  </si>
  <si>
    <t>max_floor_area_per_extinguisher</t>
  </si>
  <si>
    <t>Class A | No fixed suppression | 34A representative product</t>
  </si>
  <si>
    <t>m2/extinguisher</t>
  </si>
  <si>
    <t>AS2444 Table 4.1 - higher rating permitted under Clause 4.1</t>
  </si>
  <si>
    <t>Class A | Fixed suppression | 34A representative product</t>
  </si>
  <si>
    <t>class_A_quantity_formula</t>
  </si>
  <si>
    <t>number_of_storeys × ROUNDUP(floor_area / class_A_max_floor_area_per_extinguisher, 0)</t>
  </si>
  <si>
    <t>AS2444 Table 4.1 area basis applied floor-by-floor</t>
  </si>
  <si>
    <t>Class B | Light | No fixed suppression | 233B representative product</t>
  </si>
  <si>
    <t>AS2444 Table 4.2 - higher rating permitted under Clause 4.1</t>
  </si>
  <si>
    <t>Class B | Light | Fixed suppression | 233B representative product</t>
  </si>
  <si>
    <t>AS2444 Table 4.3 - higher rating permitted under Clause 4.1</t>
  </si>
  <si>
    <t>Class B | Ordinary | No fixed suppression | 233B representative product</t>
  </si>
  <si>
    <t>Class B | Ordinary | Fixed suppression | 233B representative product</t>
  </si>
  <si>
    <t>Class B | High | No fixed suppression | 233B representative product</t>
  </si>
  <si>
    <t>Class B | High | Fixed suppression | 233B representative product</t>
  </si>
  <si>
    <t>class_B_quantity_formula</t>
  </si>
  <si>
    <t>ROUNDUP(class_B_risk_area / class_B_max_floor_area_per_extinguisher, 0)</t>
  </si>
  <si>
    <t>AS2444 Table 4.2 and Table 4.3 area basis</t>
  </si>
  <si>
    <t>total_quantity_formula</t>
  </si>
  <si>
    <t>class_A_extinguisher_quantity + class_B_extinguisher_quantity</t>
  </si>
  <si>
    <t>Simplified estimator aggregation</t>
  </si>
  <si>
    <t>detection</t>
  </si>
  <si>
    <t>smoke_detector</t>
  </si>
  <si>
    <t>coverage_area</t>
  </si>
  <si>
    <t>Smoke detectors</t>
  </si>
  <si>
    <t>m2/detector</t>
  </si>
  <si>
    <t>AS1670.1 detector spacing basis; 10.2 m × 10.2 m coverage area used for simplified estimator</t>
  </si>
  <si>
    <t>heat_detector</t>
  </si>
  <si>
    <t>Heat detectors</t>
  </si>
  <si>
    <t>AS1670.1 detector spacing basis; 7.2 m × 7.2 m coverage area used for simplified estimator</t>
  </si>
  <si>
    <t>aspirating_detection</t>
  </si>
  <si>
    <t>Aspirating detection</t>
  </si>
  <si>
    <t>m2/system</t>
  </si>
  <si>
    <t>Simplified early-stage allowance; aspirating detection layout depends on pipe network design and sampling points</t>
  </si>
  <si>
    <t>detection_device</t>
  </si>
  <si>
    <t>ROUNDUP(detection_protected_area / 104.04, 0)</t>
  </si>
  <si>
    <t>AS1670.1 spacing basis converted to area-based quantity estimate</t>
  </si>
  <si>
    <t>ROUNDUP(detection_protected_area / 51.84, 0)</t>
  </si>
  <si>
    <t>ROUNDUP(detection_protected_area / 2000, 0)</t>
  </si>
  <si>
    <t>Simplified early-stage allowance; actual aspirating detection design requires specialist layout</t>
  </si>
  <si>
    <t>fire_indicator_panel</t>
  </si>
  <si>
    <t>count_formula</t>
  </si>
  <si>
    <t>IF(detection_selected, 1, 0)</t>
  </si>
  <si>
    <t>Typical system-level allowance; most detection systems require a central indicating/control panel</t>
  </si>
  <si>
    <t>manual_call_point</t>
  </si>
  <si>
    <t>number_of_storeys × MAX(1, number_of_exits_per_storey)</t>
  </si>
  <si>
    <t>Simplified allowance based on one manual call point per exit route per storey; actual placement requires AS1670.1 layout assessment</t>
  </si>
  <si>
    <t>alarm_warning</t>
  </si>
  <si>
    <t>sounder</t>
  </si>
  <si>
    <t>Sounders</t>
  </si>
  <si>
    <t>m2/device</t>
  </si>
  <si>
    <t>Simplified audibility proxy; AS1670.4 is performance/design based and does not provide a simple m2/device estimator</t>
  </si>
  <si>
    <t>speaker</t>
  </si>
  <si>
    <t>Speakers / EWIS</t>
  </si>
  <si>
    <t>Simplified speech/warning coverage proxy; actual speaker quantity depends on acoustic design and intelligibility requirements</t>
  </si>
  <si>
    <t>strobe</t>
  </si>
  <si>
    <t>Visual alarm devices</t>
  </si>
  <si>
    <t>Simplified visual alarm proxy; actual requirement depends on occupancy, accessibility and layout</t>
  </si>
  <si>
    <t>warning_device</t>
  </si>
  <si>
    <t>ROUNDUP(warning_protected_area / 250, 0)</t>
  </si>
  <si>
    <t>Area-based proxy for early-stage estimator; actual compliance requires AS1670.4 acoustic performance assessment</t>
  </si>
  <si>
    <t>ROUNDUP(warning_protected_area / 200, 0)</t>
  </si>
  <si>
    <t>Area-based proxy for early-stage estimator; actual compliance requires AS1670.4 acoustic and intelligibility assessment</t>
  </si>
  <si>
    <t>visual_alarm_device</t>
  </si>
  <si>
    <t>Optional area-based proxy where visual alarms are selected</t>
  </si>
  <si>
    <t>control_panel</t>
  </si>
  <si>
    <t>IF(alarm_warning_selected, 1, 0)</t>
  </si>
  <si>
    <t>Typical system-level allowance for alarm/warning control equipment</t>
  </si>
  <si>
    <t>emergency_lighting</t>
  </si>
  <si>
    <t>emergency_luminaire</t>
  </si>
  <si>
    <t>effective_area_per_luminaire</t>
  </si>
  <si>
    <t>m2/luminaire</t>
  </si>
  <si>
    <t>Simplified emergency lighting density proxy; AS/NZS2293.1 is photometric/layout based rather than m2/luminaire based</t>
  </si>
  <si>
    <t>number_of_storeys × MAX(1, ROUNDUP((total_protected_floor_area / number_of_storeys) / effective_area_per_luminaire, 0))</t>
  </si>
  <si>
    <t>Area-based proxy for early-stage estimator; actual compliance requires AS/NZS2293.1 emergency lighting layout and photometric assessment</t>
  </si>
  <si>
    <t>stair_luminaire</t>
  </si>
  <si>
    <t>luminaires_per_stair_per_storey</t>
  </si>
  <si>
    <t>no/stair/storey</t>
  </si>
  <si>
    <t>Simplified allowance for emergency lighting to stairs; actual layout depends on stair geometry and luminaire spacing</t>
  </si>
  <si>
    <t>number_of_stairs × number_of_storeys × luminaires_per_stair_per_storey</t>
  </si>
  <si>
    <t>Simplified stair lighting allowance for early-stage carbon estimation</t>
  </si>
  <si>
    <t>total_luminaire</t>
  </si>
  <si>
    <t>emergency_luminaire_count + stair_luminaire_count</t>
  </si>
  <si>
    <t>Aggregated early-stage emergency luminaire estimate</t>
  </si>
  <si>
    <t>exit_signs</t>
  </si>
  <si>
    <t>exit_sign</t>
  </si>
  <si>
    <t>signs_per_exit</t>
  </si>
  <si>
    <t>no/exit</t>
  </si>
  <si>
    <t>Simplified allowance based on illuminated exit signage at required exits; actual sign placement requires AS/NZS2293.1 layout assessment</t>
  </si>
  <si>
    <t>exit_sign_quantity_formula</t>
  </si>
  <si>
    <t>number_of_storeys × number_of_exits_per_storey × signs_per_exit</t>
  </si>
  <si>
    <t>Required-exit based estimate; actual compliance requires exit path and sign visibility assessment under AS/NZS2293.1</t>
  </si>
  <si>
    <t>directional_sign</t>
  </si>
  <si>
    <t>directional_sign_area_allowance</t>
  </si>
  <si>
    <t>m2/directional sign</t>
  </si>
  <si>
    <t>Simplified wayfinding proxy where exit path direction changes are unknown</t>
  </si>
  <si>
    <t>directional_sign_quantity_formula</t>
  </si>
  <si>
    <t>number_of_storeys × ROUNDUP((total_protected_floor_area / number_of_storeys) / directional_sign_area_allowance, 0)</t>
  </si>
  <si>
    <t>Area-based proxy for directional signs where detailed egress path layout is unavailable</t>
  </si>
  <si>
    <t>total_exit_sign</t>
  </si>
  <si>
    <t>exit_sign_count + directional_sign_count</t>
  </si>
  <si>
    <t>Aggregated early-stage exit signage estimate</t>
  </si>
  <si>
    <t>Exhaust systems</t>
  </si>
  <si>
    <t>Smoke_exhaust_fan</t>
  </si>
  <si>
    <t>Fans_per_floor</t>
  </si>
  <si>
    <t>Adjoined by class 2, 3, 9 building</t>
  </si>
  <si>
    <t>number_of_storeys x 3</t>
  </si>
  <si>
    <t>Not adjoined by class 2, 3 or 9</t>
  </si>
  <si>
    <t>number_of_storeys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</si>
</sst>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Aptos Narrow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4" borderId="0" xfId="0" applyFill="1"/>
    <xf numFmtId="0" fontId="0" fillId="0" borderId="4" xfId="0" applyBorder="1"/>
    <xf numFmtId="0" fontId="0" fillId="2" borderId="0" xfId="0" applyFill="1"/>
    <xf numFmtId="0" fontId="0" fillId="5" borderId="0" xfId="0" applyFill="1"/>
    <xf numFmtId="0" fontId="0" fillId="5" borderId="1" xfId="0" applyFill="1" applyBorder="1"/>
    <xf numFmtId="0" fontId="0" fillId="3" borderId="0" xfId="0" applyFill="1"/>
    <xf numFmtId="0" fontId="3" fillId="0" borderId="1" xfId="0" applyFont="1" applyBorder="1"/>
    <xf numFmtId="0" fontId="0" fillId="6" borderId="0" xfId="0" applyFill="1"/>
    <xf numFmtId="0" fontId="5" fillId="0" borderId="2" xfId="0" applyFont="1" applyBorder="1"/>
    <xf numFmtId="0" fontId="6" fillId="0" borderId="8" xfId="0" applyFont="1" applyBorder="1"/>
    <xf numFmtId="0" fontId="5" fillId="0" borderId="3" xfId="0" applyFont="1" applyBorder="1"/>
    <xf numFmtId="0" fontId="6" fillId="0" borderId="4" xfId="0" applyFont="1" applyBorder="1"/>
    <xf numFmtId="0" fontId="6" fillId="5" borderId="0" xfId="0" applyFont="1" applyFill="1"/>
    <xf numFmtId="0" fontId="6" fillId="5" borderId="5" xfId="0" applyFont="1" applyFill="1" applyBorder="1"/>
    <xf numFmtId="0" fontId="6" fillId="2" borderId="0" xfId="0" applyFont="1" applyFill="1"/>
    <xf numFmtId="0" fontId="6" fillId="2" borderId="5" xfId="0" applyFont="1" applyFill="1" applyBorder="1"/>
    <xf numFmtId="0" fontId="6" fillId="3" borderId="0" xfId="0" applyFont="1" applyFill="1"/>
    <xf numFmtId="0" fontId="6" fillId="3" borderId="5" xfId="0" applyFont="1" applyFill="1" applyBorder="1"/>
    <xf numFmtId="0" fontId="7" fillId="0" borderId="4" xfId="0" applyFont="1" applyBorder="1"/>
    <xf numFmtId="0" fontId="7" fillId="8" borderId="10" xfId="0" applyFont="1" applyFill="1" applyBorder="1"/>
    <xf numFmtId="0" fontId="7" fillId="8" borderId="5" xfId="0" applyFont="1" applyFill="1" applyBorder="1"/>
    <xf numFmtId="0" fontId="6" fillId="4" borderId="4" xfId="0" applyFont="1" applyFill="1" applyBorder="1"/>
    <xf numFmtId="0" fontId="6" fillId="4" borderId="11" xfId="0" applyFont="1" applyFill="1" applyBorder="1"/>
    <xf numFmtId="0" fontId="6" fillId="4" borderId="5" xfId="0" applyFont="1" applyFill="1" applyBorder="1" applyAlignment="1">
      <alignment horizontal="center"/>
    </xf>
    <xf numFmtId="0" fontId="6" fillId="6" borderId="6" xfId="0" applyFont="1" applyFill="1" applyBorder="1"/>
    <xf numFmtId="0" fontId="6" fillId="6" borderId="9" xfId="0" applyFont="1" applyFill="1" applyBorder="1"/>
    <xf numFmtId="0" fontId="6" fillId="6" borderId="7" xfId="0" applyFont="1" applyFill="1" applyBorder="1"/>
    <xf numFmtId="0" fontId="6" fillId="0" borderId="0" xfId="0" applyFont="1"/>
    <xf numFmtId="0" fontId="8" fillId="0" borderId="4" xfId="0" applyFont="1" applyBorder="1"/>
    <xf numFmtId="0" fontId="8" fillId="0" borderId="0" xfId="0" applyFont="1"/>
    <xf numFmtId="0" fontId="8" fillId="0" borderId="5" xfId="0" applyFont="1" applyBorder="1"/>
    <xf numFmtId="0" fontId="6" fillId="4" borderId="0" xfId="0" applyFont="1" applyFill="1"/>
    <xf numFmtId="0" fontId="6" fillId="4" borderId="5" xfId="0" applyFont="1" applyFill="1" applyBorder="1"/>
    <xf numFmtId="0" fontId="6" fillId="7" borderId="6" xfId="0" applyFont="1" applyFill="1" applyBorder="1"/>
    <xf numFmtId="0" fontId="6" fillId="7" borderId="9" xfId="0" applyFont="1" applyFill="1" applyBorder="1"/>
    <xf numFmtId="0" fontId="6" fillId="7" borderId="7" xfId="0" applyFont="1" applyFill="1" applyBorder="1"/>
    <xf numFmtId="0" fontId="5" fillId="0" borderId="0" xfId="0" applyFont="1"/>
    <xf numFmtId="0" fontId="8" fillId="4" borderId="0" xfId="0" applyFont="1" applyFill="1"/>
    <xf numFmtId="0" fontId="6" fillId="3" borderId="0" xfId="0" applyFont="1" applyFill="1" applyAlignment="1">
      <alignment wrapText="1"/>
    </xf>
    <xf numFmtId="0" fontId="0" fillId="4" borderId="2" xfId="0" applyFill="1" applyBorder="1"/>
    <xf numFmtId="0" fontId="0" fillId="4" borderId="8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7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0" fillId="2" borderId="4" xfId="0" applyFont="1" applyFill="1" applyBorder="1"/>
    <xf numFmtId="0" fontId="10" fillId="2" borderId="0" xfId="0" applyFont="1" applyFill="1" applyBorder="1"/>
    <xf numFmtId="0" fontId="10" fillId="2" borderId="5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7" xfId="0" applyFill="1" applyBorder="1"/>
    <xf numFmtId="0" fontId="4" fillId="4" borderId="0" xfId="0" applyFont="1" applyFill="1" applyBorder="1"/>
    <xf numFmtId="0" fontId="9" fillId="4" borderId="0" xfId="1" applyFill="1" applyBorder="1"/>
    <xf numFmtId="0" fontId="11" fillId="0" borderId="0" xfId="0" applyFont="1"/>
    <xf numFmtId="0" fontId="1" fillId="2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ccengineering.com.au/design-memos/fire-hydrant-hose-reel-require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3"/>
  <sheetViews>
    <sheetView workbookViewId="0">
      <selection activeCell="B19" sqref="B19:B22"/>
    </sheetView>
  </sheetViews>
  <sheetFormatPr defaultRowHeight="15"/>
  <cols>
    <col min="2" max="2" width="27.42578125" bestFit="1" customWidth="1"/>
    <col min="3" max="3" width="15.5703125" bestFit="1" customWidth="1"/>
    <col min="6" max="6" width="36.5703125" bestFit="1" customWidth="1"/>
    <col min="7" max="7" width="13.140625" customWidth="1"/>
    <col min="8" max="8" width="54.85546875" bestFit="1" customWidth="1"/>
    <col min="10" max="10" width="9" customWidth="1"/>
    <col min="11" max="11" width="9.7109375" customWidth="1"/>
    <col min="15" max="15" width="12.7109375" bestFit="1" customWidth="1"/>
  </cols>
  <sheetData>
    <row r="2" spans="2:10">
      <c r="B2" t="s">
        <v>0</v>
      </c>
    </row>
    <row r="4" spans="2:10" ht="15.75">
      <c r="B4" s="4" t="s">
        <v>1</v>
      </c>
      <c r="C4" s="4" t="s">
        <v>2</v>
      </c>
      <c r="D4" s="4" t="s">
        <v>3</v>
      </c>
      <c r="F4" s="14" t="s">
        <v>4</v>
      </c>
      <c r="G4" s="15" t="s">
        <v>5</v>
      </c>
      <c r="H4" s="16" t="s">
        <v>6</v>
      </c>
      <c r="J4" t="s">
        <v>7</v>
      </c>
    </row>
    <row r="5" spans="2:10">
      <c r="B5" s="5" t="s">
        <v>8</v>
      </c>
      <c r="C5" s="10">
        <v>5</v>
      </c>
      <c r="D5" s="5"/>
      <c r="F5" s="17" t="s">
        <v>9</v>
      </c>
      <c r="G5" s="18">
        <f>C6</f>
        <v>1000</v>
      </c>
      <c r="H5" s="19" t="s">
        <v>10</v>
      </c>
    </row>
    <row r="6" spans="2:10">
      <c r="B6" s="5" t="s">
        <v>11</v>
      </c>
      <c r="C6" s="10">
        <v>1000</v>
      </c>
      <c r="D6" s="5" t="s">
        <v>12</v>
      </c>
      <c r="F6" s="17" t="s">
        <v>13</v>
      </c>
      <c r="G6" s="20" t="str">
        <f>C12</f>
        <v>Ordinary Hazard</v>
      </c>
      <c r="H6" s="21" t="s">
        <v>14</v>
      </c>
      <c r="J6" t="s">
        <v>15</v>
      </c>
    </row>
    <row r="7" spans="2:10">
      <c r="B7" s="5" t="s">
        <v>16</v>
      </c>
      <c r="C7" s="10">
        <v>10</v>
      </c>
      <c r="D7" s="5" t="s">
        <v>17</v>
      </c>
      <c r="F7" s="17" t="s">
        <v>18</v>
      </c>
      <c r="G7" s="22" t="s">
        <v>19</v>
      </c>
      <c r="H7" s="23" t="s">
        <v>20</v>
      </c>
      <c r="J7" t="s">
        <v>21</v>
      </c>
    </row>
    <row r="8" spans="2:10">
      <c r="B8" s="5" t="s">
        <v>22</v>
      </c>
      <c r="C8" s="10">
        <v>20</v>
      </c>
      <c r="D8" s="5" t="s">
        <v>23</v>
      </c>
      <c r="F8" s="17" t="s">
        <v>24</v>
      </c>
      <c r="G8" s="22" cm="1">
        <f t="array" ref="G8">_xlfn.IFS(C12="Light Hazard",21,C12="Ordinary Hazard",12,C12="High Hazard",9,TRUE,"Check hazard input")</f>
        <v>12</v>
      </c>
      <c r="H8" s="23" t="s">
        <v>25</v>
      </c>
    </row>
    <row r="9" spans="2:10">
      <c r="B9" s="5" t="s">
        <v>26</v>
      </c>
      <c r="C9" s="10">
        <v>2</v>
      </c>
      <c r="D9" s="5"/>
      <c r="F9" s="24" t="s">
        <v>27</v>
      </c>
      <c r="G9" s="25">
        <f>ROUND(C7*C9+G10*G5/SQRT(G8),2)</f>
        <v>23980.04</v>
      </c>
      <c r="H9" s="26" t="s">
        <v>28</v>
      </c>
    </row>
    <row r="10" spans="2:10">
      <c r="B10" s="5" t="s">
        <v>29</v>
      </c>
      <c r="C10" s="10">
        <v>3</v>
      </c>
      <c r="D10" s="5"/>
      <c r="F10" s="27" t="s">
        <v>30</v>
      </c>
      <c r="G10" s="28">
        <f>ROUND(G5/G8,0)</f>
        <v>83</v>
      </c>
      <c r="H10" s="29"/>
    </row>
    <row r="11" spans="2:10" ht="15.75">
      <c r="B11" s="5" t="s">
        <v>31</v>
      </c>
      <c r="C11" s="10">
        <v>3</v>
      </c>
      <c r="D11" s="5"/>
      <c r="F11" s="30" t="s">
        <v>32</v>
      </c>
      <c r="G11" s="31"/>
      <c r="H11" s="32" t="s">
        <v>33</v>
      </c>
      <c r="I11" s="1"/>
    </row>
    <row r="12" spans="2:10">
      <c r="B12" s="7" t="s">
        <v>13</v>
      </c>
      <c r="C12" s="8" t="s">
        <v>34</v>
      </c>
      <c r="F12" s="33"/>
      <c r="G12" s="33"/>
      <c r="H12" s="33"/>
      <c r="I12" s="2"/>
    </row>
    <row r="13" spans="2:10">
      <c r="F13" s="14" t="s">
        <v>35</v>
      </c>
      <c r="G13" s="15" t="s">
        <v>5</v>
      </c>
      <c r="H13" s="16" t="s">
        <v>6</v>
      </c>
      <c r="I13" s="2"/>
    </row>
    <row r="14" spans="2:10">
      <c r="B14" s="12" t="s">
        <v>36</v>
      </c>
      <c r="C14" s="12" t="s">
        <v>1</v>
      </c>
      <c r="F14" s="17" t="s">
        <v>37</v>
      </c>
      <c r="G14" s="33">
        <f>C6</f>
        <v>1000</v>
      </c>
      <c r="H14" s="19" t="s">
        <v>10</v>
      </c>
      <c r="I14" s="2"/>
    </row>
    <row r="15" spans="2:10">
      <c r="B15" s="5" t="s">
        <v>4</v>
      </c>
      <c r="C15" s="10" t="s">
        <v>38</v>
      </c>
      <c r="F15" s="17" t="s">
        <v>39</v>
      </c>
      <c r="G15" s="33" t="s">
        <v>40</v>
      </c>
      <c r="H15" s="23" t="s">
        <v>41</v>
      </c>
      <c r="I15" s="2"/>
    </row>
    <row r="16" spans="2:10">
      <c r="B16" s="5" t="s">
        <v>42</v>
      </c>
      <c r="C16" s="10" t="s">
        <v>6</v>
      </c>
      <c r="F16" s="34" t="s">
        <v>27</v>
      </c>
      <c r="G16" s="35"/>
      <c r="H16" s="36" t="s">
        <v>43</v>
      </c>
    </row>
    <row r="17" spans="2:8">
      <c r="B17" s="5" t="s">
        <v>35</v>
      </c>
      <c r="C17" s="10" t="s">
        <v>6</v>
      </c>
      <c r="F17" s="27" t="s">
        <v>44</v>
      </c>
      <c r="G17" s="37"/>
      <c r="H17" s="38"/>
    </row>
    <row r="18" spans="2:8">
      <c r="B18" s="5" t="s">
        <v>45</v>
      </c>
      <c r="C18" s="10" t="s">
        <v>6</v>
      </c>
      <c r="F18" s="30" t="s">
        <v>46</v>
      </c>
      <c r="G18" s="31"/>
      <c r="H18" s="32" t="s">
        <v>33</v>
      </c>
    </row>
    <row r="19" spans="2:8">
      <c r="B19" s="5" t="s">
        <v>47</v>
      </c>
      <c r="C19" s="10" t="s">
        <v>48</v>
      </c>
      <c r="F19" s="33"/>
      <c r="G19" s="33"/>
      <c r="H19" s="33" t="s">
        <v>49</v>
      </c>
    </row>
    <row r="20" spans="2:8">
      <c r="B20" s="5" t="s">
        <v>50</v>
      </c>
      <c r="C20" s="10" t="s">
        <v>48</v>
      </c>
      <c r="F20" s="14" t="s">
        <v>45</v>
      </c>
      <c r="G20" s="15" t="s">
        <v>5</v>
      </c>
      <c r="H20" s="16" t="s">
        <v>6</v>
      </c>
    </row>
    <row r="21" spans="2:8">
      <c r="B21" s="5" t="s">
        <v>51</v>
      </c>
      <c r="C21" s="10" t="s">
        <v>6</v>
      </c>
      <c r="F21" s="17" t="s">
        <v>52</v>
      </c>
      <c r="G21" s="33" t="s">
        <v>53</v>
      </c>
      <c r="H21" s="21" t="s">
        <v>54</v>
      </c>
    </row>
    <row r="22" spans="2:8">
      <c r="B22" s="5" t="s">
        <v>55</v>
      </c>
      <c r="C22" s="10" t="s">
        <v>6</v>
      </c>
      <c r="F22" s="17" t="s">
        <v>56</v>
      </c>
      <c r="G22" s="33" t="str">
        <f>C12</f>
        <v>Ordinary Hazard</v>
      </c>
      <c r="H22" s="21" t="s">
        <v>57</v>
      </c>
    </row>
    <row r="23" spans="2:8">
      <c r="F23" s="17" t="s">
        <v>58</v>
      </c>
      <c r="G23" s="33"/>
      <c r="H23" s="21" t="s">
        <v>59</v>
      </c>
    </row>
    <row r="24" spans="2:8">
      <c r="F24" s="34" t="s">
        <v>60</v>
      </c>
      <c r="G24" s="35"/>
      <c r="H24" s="36" t="s">
        <v>61</v>
      </c>
    </row>
    <row r="25" spans="2:8">
      <c r="F25" s="27" t="s">
        <v>62</v>
      </c>
      <c r="G25" s="37"/>
      <c r="H25" s="38"/>
    </row>
    <row r="26" spans="2:8">
      <c r="F26" s="39" t="s">
        <v>63</v>
      </c>
      <c r="G26" s="40"/>
      <c r="H26" s="41" t="s">
        <v>33</v>
      </c>
    </row>
    <row r="27" spans="2:8">
      <c r="C27" s="2"/>
      <c r="D27" s="2"/>
      <c r="F27" s="33"/>
      <c r="G27" s="33"/>
      <c r="H27" s="33"/>
    </row>
    <row r="28" spans="2:8">
      <c r="B28" s="9" t="s">
        <v>64</v>
      </c>
      <c r="C28" s="2"/>
      <c r="D28" s="2"/>
      <c r="F28" s="42" t="s">
        <v>51</v>
      </c>
      <c r="G28" s="42" t="s">
        <v>6</v>
      </c>
      <c r="H28" s="33"/>
    </row>
    <row r="29" spans="2:8">
      <c r="B29" s="8" t="s">
        <v>65</v>
      </c>
      <c r="C29" s="2"/>
      <c r="D29" s="2"/>
      <c r="F29" s="33" t="s">
        <v>66</v>
      </c>
      <c r="G29" s="33">
        <f>C6</f>
        <v>1000</v>
      </c>
      <c r="H29" s="18" t="s">
        <v>10</v>
      </c>
    </row>
    <row r="30" spans="2:8">
      <c r="B30" s="11" t="s">
        <v>67</v>
      </c>
      <c r="F30" s="33" t="s">
        <v>29</v>
      </c>
      <c r="G30" s="33">
        <f>C10</f>
        <v>3</v>
      </c>
      <c r="H30" s="18" t="s">
        <v>68</v>
      </c>
    </row>
    <row r="31" spans="2:8">
      <c r="B31" s="6" t="s">
        <v>69</v>
      </c>
      <c r="F31" s="33" t="s">
        <v>31</v>
      </c>
      <c r="G31" s="33">
        <f>C11</f>
        <v>3</v>
      </c>
      <c r="H31" s="18" t="s">
        <v>68</v>
      </c>
    </row>
    <row r="32" spans="2:8">
      <c r="B32" s="13" t="s">
        <v>70</v>
      </c>
      <c r="F32" s="35" t="s">
        <v>71</v>
      </c>
      <c r="G32" s="35"/>
      <c r="H32" s="35" t="s">
        <v>43</v>
      </c>
    </row>
    <row r="33" spans="6:8">
      <c r="F33" s="33" t="s">
        <v>72</v>
      </c>
      <c r="G33" s="33"/>
      <c r="H33" s="37" t="s">
        <v>33</v>
      </c>
    </row>
    <row r="34" spans="6:8">
      <c r="F34" s="33"/>
      <c r="G34" s="33"/>
      <c r="H34" s="33"/>
    </row>
    <row r="35" spans="6:8">
      <c r="F35" s="42" t="s">
        <v>42</v>
      </c>
      <c r="G35" s="42" t="s">
        <v>6</v>
      </c>
      <c r="H35" s="33"/>
    </row>
    <row r="36" spans="6:8">
      <c r="F36" s="33" t="s">
        <v>73</v>
      </c>
      <c r="G36" s="33">
        <f>C7</f>
        <v>10</v>
      </c>
      <c r="H36" s="18" t="s">
        <v>74</v>
      </c>
    </row>
    <row r="37" spans="6:8">
      <c r="F37" s="35" t="s">
        <v>75</v>
      </c>
      <c r="G37" s="33"/>
      <c r="H37" s="18" t="s">
        <v>76</v>
      </c>
    </row>
    <row r="38" spans="6:8">
      <c r="F38" s="35" t="s">
        <v>77</v>
      </c>
      <c r="G38" s="33"/>
      <c r="H38" s="43" t="s">
        <v>78</v>
      </c>
    </row>
    <row r="39" spans="6:8">
      <c r="F39" s="35" t="s">
        <v>79</v>
      </c>
      <c r="G39" s="35"/>
      <c r="H39" s="35" t="s">
        <v>80</v>
      </c>
    </row>
    <row r="40" spans="6:8">
      <c r="F40" s="35" t="s">
        <v>81</v>
      </c>
      <c r="G40" s="35"/>
      <c r="H40" s="35" t="s">
        <v>80</v>
      </c>
    </row>
    <row r="41" spans="6:8">
      <c r="F41" s="33" t="s">
        <v>82</v>
      </c>
      <c r="G41" s="33"/>
      <c r="H41" s="37" t="s">
        <v>33</v>
      </c>
    </row>
    <row r="42" spans="6:8">
      <c r="F42" s="33"/>
      <c r="G42" s="33"/>
      <c r="H42" s="33"/>
    </row>
    <row r="43" spans="6:8">
      <c r="F43" s="42" t="s">
        <v>55</v>
      </c>
      <c r="G43" s="42" t="s">
        <v>6</v>
      </c>
      <c r="H43" s="33"/>
    </row>
    <row r="44" spans="6:8">
      <c r="F44" s="33" t="s">
        <v>29</v>
      </c>
      <c r="G44" s="33">
        <f>C10</f>
        <v>3</v>
      </c>
      <c r="H44" s="18" t="s">
        <v>68</v>
      </c>
    </row>
    <row r="45" spans="6:8">
      <c r="F45" s="35" t="s">
        <v>83</v>
      </c>
      <c r="G45" s="35"/>
      <c r="H45" s="35" t="s">
        <v>43</v>
      </c>
    </row>
    <row r="46" spans="6:8">
      <c r="F46" s="33" t="s">
        <v>16</v>
      </c>
      <c r="G46" s="33">
        <f>C7</f>
        <v>10</v>
      </c>
      <c r="H46" s="18" t="s">
        <v>68</v>
      </c>
    </row>
    <row r="47" spans="6:8">
      <c r="F47" s="33" t="s">
        <v>84</v>
      </c>
      <c r="G47" s="33">
        <f>G44*G46</f>
        <v>30</v>
      </c>
      <c r="H47" s="33"/>
    </row>
    <row r="48" spans="6:8">
      <c r="F48" s="33" t="s">
        <v>85</v>
      </c>
      <c r="G48" s="33"/>
      <c r="H48" s="37" t="s">
        <v>33</v>
      </c>
    </row>
    <row r="49" spans="6:8">
      <c r="F49" s="33"/>
      <c r="G49" s="33"/>
      <c r="H49" s="33"/>
    </row>
    <row r="50" spans="6:8">
      <c r="F50" s="42" t="s">
        <v>86</v>
      </c>
      <c r="G50" s="33"/>
      <c r="H50" s="42" t="s">
        <v>87</v>
      </c>
    </row>
    <row r="51" spans="6:8">
      <c r="F51" s="33" t="s">
        <v>88</v>
      </c>
      <c r="G51" s="33"/>
      <c r="H51" s="20" t="s">
        <v>89</v>
      </c>
    </row>
    <row r="52" spans="6:8">
      <c r="F52" s="33" t="s">
        <v>90</v>
      </c>
      <c r="G52" s="33">
        <f>C6</f>
        <v>1000</v>
      </c>
      <c r="H52" s="18" t="s">
        <v>10</v>
      </c>
    </row>
    <row r="53" spans="6:8">
      <c r="F53" s="33" t="s">
        <v>91</v>
      </c>
      <c r="G53" s="33"/>
      <c r="H53" s="22" t="s">
        <v>92</v>
      </c>
    </row>
    <row r="54" spans="6:8">
      <c r="F54" s="33" t="s">
        <v>93</v>
      </c>
      <c r="G54" s="33"/>
      <c r="H54" s="20" t="s">
        <v>6</v>
      </c>
    </row>
    <row r="55" spans="6:8">
      <c r="F55" s="33" t="s">
        <v>94</v>
      </c>
      <c r="G55" s="33"/>
      <c r="H55" s="37" t="s">
        <v>33</v>
      </c>
    </row>
    <row r="56" spans="6:8">
      <c r="F56" s="33"/>
      <c r="G56" s="33"/>
      <c r="H56" s="33"/>
    </row>
    <row r="57" spans="6:8">
      <c r="F57" s="42" t="s">
        <v>95</v>
      </c>
      <c r="G57" s="33"/>
      <c r="H57" s="42" t="s">
        <v>96</v>
      </c>
    </row>
    <row r="58" spans="6:8">
      <c r="F58" s="33" t="s">
        <v>97</v>
      </c>
      <c r="G58" s="18">
        <f>C6</f>
        <v>1000</v>
      </c>
      <c r="H58" s="18" t="s">
        <v>10</v>
      </c>
    </row>
    <row r="59" spans="6:8">
      <c r="F59" s="33" t="s">
        <v>98</v>
      </c>
      <c r="G59" s="20" t="s">
        <v>99</v>
      </c>
      <c r="H59" s="20" t="s">
        <v>100</v>
      </c>
    </row>
    <row r="60" spans="6:8" ht="16.5" customHeight="1">
      <c r="F60" s="33" t="s">
        <v>101</v>
      </c>
      <c r="G60" s="44" cm="1">
        <f t="array" ref="G60">_xlfn.IFS(G59="Smoke",10.2^2,G59="Heat",7.2^2,G59="Aspirating",2000)</f>
        <v>104.03999999999999</v>
      </c>
      <c r="H60" s="22" t="s">
        <v>102</v>
      </c>
    </row>
    <row r="61" spans="6:8">
      <c r="F61" s="33" t="s">
        <v>103</v>
      </c>
      <c r="G61" s="33"/>
      <c r="H61" s="33" t="s">
        <v>104</v>
      </c>
    </row>
    <row r="62" spans="6:8">
      <c r="F62" s="33" t="s">
        <v>105</v>
      </c>
      <c r="G62" s="33"/>
      <c r="H62" s="33" t="s">
        <v>6</v>
      </c>
    </row>
    <row r="63" spans="6:8">
      <c r="F63" s="33" t="s">
        <v>106</v>
      </c>
      <c r="G63" s="33"/>
      <c r="H63" s="37" t="s">
        <v>33</v>
      </c>
    </row>
  </sheetData>
  <dataValidations count="3">
    <dataValidation type="list" allowBlank="1" showInputMessage="1" showErrorMessage="1" sqref="C12" xr:uid="{9409800A-6F22-4664-B370-EDC7B6FBBBA4}">
      <formula1>"Light Hazard, Ordinary Hazard, High Hazard"</formula1>
    </dataValidation>
    <dataValidation type="list" allowBlank="1" showInputMessage="1" showErrorMessage="1" sqref="G21" xr:uid="{F1F425FB-97BE-4865-B6E0-CA8F9AEC6A51}">
      <formula1>"A, B, C, E, F"</formula1>
    </dataValidation>
    <dataValidation type="list" allowBlank="1" showInputMessage="1" showErrorMessage="1" sqref="G59" xr:uid="{B645B1AD-747E-4580-8727-A16F20AE568B}">
      <formula1>"Smoke, Heat, Aspirating"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E4B0-61A1-4966-972C-015A783A42AC}">
  <dimension ref="A1:I79"/>
  <sheetViews>
    <sheetView tabSelected="1" workbookViewId="0"/>
  </sheetViews>
  <sheetFormatPr defaultRowHeight="15"/>
  <cols>
    <col min="1" max="1" width="18.5703125" bestFit="1" customWidth="1"/>
    <col min="2" max="2" width="25.42578125" bestFit="1" customWidth="1"/>
    <col min="3" max="3" width="34.5703125" bestFit="1" customWidth="1"/>
    <col min="4" max="4" width="50.5703125" bestFit="1" customWidth="1"/>
    <col min="5" max="5" width="75" bestFit="1" customWidth="1"/>
    <col min="6" max="6" width="22.85546875" bestFit="1" customWidth="1"/>
    <col min="7" max="7" width="14.28515625" bestFit="1" customWidth="1"/>
    <col min="8" max="8" width="49.140625" bestFit="1" customWidth="1"/>
  </cols>
  <sheetData>
    <row r="1" spans="1:9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</row>
    <row r="2" spans="1:9">
      <c r="A2" s="57" t="s">
        <v>116</v>
      </c>
      <c r="B2" s="58" t="s">
        <v>117</v>
      </c>
      <c r="C2" s="58" t="s">
        <v>118</v>
      </c>
      <c r="D2" s="58" t="s">
        <v>119</v>
      </c>
      <c r="E2" s="58">
        <v>21</v>
      </c>
      <c r="F2" s="58" t="s">
        <v>120</v>
      </c>
      <c r="G2" s="58" t="s">
        <v>121</v>
      </c>
      <c r="H2" s="58" t="s">
        <v>122</v>
      </c>
      <c r="I2" s="59" t="s">
        <v>5</v>
      </c>
    </row>
    <row r="3" spans="1:9">
      <c r="A3" s="60" t="s">
        <v>116</v>
      </c>
      <c r="B3" s="61" t="s">
        <v>117</v>
      </c>
      <c r="C3" s="61" t="s">
        <v>118</v>
      </c>
      <c r="D3" s="61" t="s">
        <v>34</v>
      </c>
      <c r="E3" s="61">
        <v>12</v>
      </c>
      <c r="F3" s="61" t="s">
        <v>120</v>
      </c>
      <c r="G3" s="61" t="s">
        <v>121</v>
      </c>
      <c r="H3" s="61" t="s">
        <v>122</v>
      </c>
      <c r="I3" s="62" t="s">
        <v>5</v>
      </c>
    </row>
    <row r="4" spans="1:9">
      <c r="A4" s="60" t="s">
        <v>116</v>
      </c>
      <c r="B4" s="61" t="s">
        <v>117</v>
      </c>
      <c r="C4" s="61" t="s">
        <v>118</v>
      </c>
      <c r="D4" s="61" t="s">
        <v>123</v>
      </c>
      <c r="E4" s="61">
        <v>9</v>
      </c>
      <c r="F4" s="61" t="s">
        <v>120</v>
      </c>
      <c r="G4" s="61" t="s">
        <v>121</v>
      </c>
      <c r="H4" s="61" t="s">
        <v>122</v>
      </c>
      <c r="I4" s="62" t="s">
        <v>5</v>
      </c>
    </row>
    <row r="5" spans="1:9">
      <c r="A5" s="60" t="s">
        <v>116</v>
      </c>
      <c r="B5" s="61" t="s">
        <v>117</v>
      </c>
      <c r="C5" s="61" t="s">
        <v>124</v>
      </c>
      <c r="D5" s="61" t="s">
        <v>125</v>
      </c>
      <c r="E5" s="61" t="s">
        <v>126</v>
      </c>
      <c r="F5" s="61" t="s">
        <v>127</v>
      </c>
      <c r="G5" s="61" t="s">
        <v>128</v>
      </c>
      <c r="H5" s="61" t="s">
        <v>129</v>
      </c>
      <c r="I5" s="62" t="s">
        <v>130</v>
      </c>
    </row>
    <row r="6" spans="1:9">
      <c r="A6" s="60" t="s">
        <v>116</v>
      </c>
      <c r="B6" s="61" t="s">
        <v>117</v>
      </c>
      <c r="C6" s="61" t="s">
        <v>131</v>
      </c>
      <c r="D6" s="61" t="s">
        <v>125</v>
      </c>
      <c r="E6" s="61" t="s">
        <v>132</v>
      </c>
      <c r="F6" s="61" t="s">
        <v>133</v>
      </c>
      <c r="G6" s="61" t="s">
        <v>128</v>
      </c>
      <c r="H6" s="61" t="s">
        <v>134</v>
      </c>
      <c r="I6" s="62" t="s">
        <v>5</v>
      </c>
    </row>
    <row r="7" spans="1:9">
      <c r="A7" s="60" t="s">
        <v>116</v>
      </c>
      <c r="B7" s="64" t="s">
        <v>135</v>
      </c>
      <c r="C7" s="64" t="s">
        <v>136</v>
      </c>
      <c r="D7" s="64" t="s">
        <v>137</v>
      </c>
      <c r="E7" s="64">
        <v>0</v>
      </c>
      <c r="F7" s="64" t="s">
        <v>138</v>
      </c>
      <c r="G7" s="64" t="s">
        <v>139</v>
      </c>
      <c r="H7" s="64" t="s">
        <v>140</v>
      </c>
      <c r="I7" s="65" t="s">
        <v>5</v>
      </c>
    </row>
    <row r="8" spans="1:9">
      <c r="A8" s="60" t="s">
        <v>116</v>
      </c>
      <c r="B8" s="64" t="s">
        <v>135</v>
      </c>
      <c r="C8" s="64" t="s">
        <v>136</v>
      </c>
      <c r="D8" s="64" t="s">
        <v>141</v>
      </c>
      <c r="E8" s="64">
        <v>1</v>
      </c>
      <c r="F8" s="64" t="s">
        <v>138</v>
      </c>
      <c r="G8" s="64" t="s">
        <v>139</v>
      </c>
      <c r="H8" s="64" t="s">
        <v>140</v>
      </c>
      <c r="I8" s="65" t="s">
        <v>5</v>
      </c>
    </row>
    <row r="9" spans="1:9">
      <c r="A9" s="66" t="s">
        <v>116</v>
      </c>
      <c r="B9" s="67" t="s">
        <v>142</v>
      </c>
      <c r="C9" s="67" t="s">
        <v>143</v>
      </c>
      <c r="D9" s="67" t="s">
        <v>125</v>
      </c>
      <c r="E9" s="67">
        <v>1</v>
      </c>
      <c r="F9" s="67" t="s">
        <v>144</v>
      </c>
      <c r="G9" s="67" t="s">
        <v>139</v>
      </c>
      <c r="H9" s="67" t="s">
        <v>145</v>
      </c>
      <c r="I9" s="68" t="s">
        <v>5</v>
      </c>
    </row>
    <row r="10" spans="1:9">
      <c r="A10" s="66" t="s">
        <v>116</v>
      </c>
      <c r="B10" s="67" t="s">
        <v>142</v>
      </c>
      <c r="C10" s="67" t="s">
        <v>146</v>
      </c>
      <c r="D10" s="67" t="s">
        <v>147</v>
      </c>
      <c r="E10" s="67">
        <v>1.1000000000000001</v>
      </c>
      <c r="F10" s="67" t="s">
        <v>148</v>
      </c>
      <c r="G10" s="67" t="s">
        <v>139</v>
      </c>
      <c r="H10" s="67" t="s">
        <v>149</v>
      </c>
      <c r="I10" s="68" t="s">
        <v>5</v>
      </c>
    </row>
    <row r="11" spans="1:9">
      <c r="A11" s="66" t="s">
        <v>116</v>
      </c>
      <c r="B11" s="67" t="s">
        <v>142</v>
      </c>
      <c r="C11" s="67" t="s">
        <v>146</v>
      </c>
      <c r="D11" s="67" t="s">
        <v>150</v>
      </c>
      <c r="E11" s="67">
        <v>1.3</v>
      </c>
      <c r="F11" s="67" t="s">
        <v>148</v>
      </c>
      <c r="G11" s="67" t="s">
        <v>139</v>
      </c>
      <c r="H11" s="67" t="s">
        <v>149</v>
      </c>
      <c r="I11" s="68" t="s">
        <v>5</v>
      </c>
    </row>
    <row r="12" spans="1:9">
      <c r="A12" s="66" t="s">
        <v>116</v>
      </c>
      <c r="B12" s="67" t="s">
        <v>142</v>
      </c>
      <c r="C12" s="67" t="s">
        <v>146</v>
      </c>
      <c r="D12" s="67" t="s">
        <v>151</v>
      </c>
      <c r="E12" s="67">
        <v>1.6</v>
      </c>
      <c r="F12" s="67" t="s">
        <v>148</v>
      </c>
      <c r="G12" s="67" t="s">
        <v>139</v>
      </c>
      <c r="H12" s="67" t="s">
        <v>149</v>
      </c>
      <c r="I12" s="68" t="s">
        <v>5</v>
      </c>
    </row>
    <row r="13" spans="1:9">
      <c r="A13" s="66" t="s">
        <v>116</v>
      </c>
      <c r="B13" s="67" t="s">
        <v>142</v>
      </c>
      <c r="C13" s="67" t="s">
        <v>152</v>
      </c>
      <c r="D13" s="67" t="s">
        <v>125</v>
      </c>
      <c r="E13" s="67">
        <v>0</v>
      </c>
      <c r="F13" s="67" t="s">
        <v>153</v>
      </c>
      <c r="G13" s="67" t="s">
        <v>139</v>
      </c>
      <c r="H13" s="67" t="s">
        <v>154</v>
      </c>
      <c r="I13" s="68" t="s">
        <v>5</v>
      </c>
    </row>
    <row r="14" spans="1:9">
      <c r="A14" s="66" t="s">
        <v>116</v>
      </c>
      <c r="B14" s="67" t="s">
        <v>142</v>
      </c>
      <c r="C14" s="67" t="s">
        <v>155</v>
      </c>
      <c r="D14" s="67" t="s">
        <v>125</v>
      </c>
      <c r="E14" s="67" t="s">
        <v>156</v>
      </c>
      <c r="F14" s="67" t="s">
        <v>133</v>
      </c>
      <c r="G14" s="67" t="s">
        <v>157</v>
      </c>
      <c r="H14" s="67" t="s">
        <v>158</v>
      </c>
      <c r="I14" s="68" t="s">
        <v>5</v>
      </c>
    </row>
    <row r="15" spans="1:9">
      <c r="A15" s="66" t="s">
        <v>116</v>
      </c>
      <c r="B15" s="67" t="s">
        <v>142</v>
      </c>
      <c r="C15" s="67" t="s">
        <v>159</v>
      </c>
      <c r="D15" s="67" t="s">
        <v>125</v>
      </c>
      <c r="E15" s="67" t="s">
        <v>160</v>
      </c>
      <c r="F15" s="67" t="s">
        <v>133</v>
      </c>
      <c r="G15" s="67" t="s">
        <v>157</v>
      </c>
      <c r="H15" s="67" t="s">
        <v>161</v>
      </c>
      <c r="I15" s="68" t="s">
        <v>5</v>
      </c>
    </row>
    <row r="16" spans="1:9">
      <c r="A16" s="45" t="s">
        <v>162</v>
      </c>
      <c r="B16" s="46" t="s">
        <v>163</v>
      </c>
      <c r="C16" s="46" t="s">
        <v>143</v>
      </c>
      <c r="D16" s="46" t="s">
        <v>125</v>
      </c>
      <c r="E16" s="46" t="s">
        <v>164</v>
      </c>
      <c r="F16" s="46" t="s">
        <v>133</v>
      </c>
      <c r="G16" s="46" t="s">
        <v>139</v>
      </c>
      <c r="H16" s="46" t="s">
        <v>165</v>
      </c>
      <c r="I16" s="47" t="s">
        <v>5</v>
      </c>
    </row>
    <row r="17" spans="1:9">
      <c r="A17" s="48" t="s">
        <v>162</v>
      </c>
      <c r="B17" s="49" t="s">
        <v>166</v>
      </c>
      <c r="C17" s="49" t="s">
        <v>131</v>
      </c>
      <c r="D17" s="49" t="s">
        <v>125</v>
      </c>
      <c r="E17" s="49" t="s">
        <v>167</v>
      </c>
      <c r="F17" s="49" t="s">
        <v>133</v>
      </c>
      <c r="G17" s="49" t="s">
        <v>157</v>
      </c>
      <c r="H17" s="49" t="s">
        <v>168</v>
      </c>
      <c r="I17" s="50" t="s">
        <v>5</v>
      </c>
    </row>
    <row r="18" spans="1:9">
      <c r="A18" s="48" t="s">
        <v>162</v>
      </c>
      <c r="B18" s="49" t="s">
        <v>166</v>
      </c>
      <c r="C18" s="49" t="s">
        <v>169</v>
      </c>
      <c r="D18" s="49" t="s">
        <v>125</v>
      </c>
      <c r="E18" s="49">
        <v>1</v>
      </c>
      <c r="F18" s="49" t="s">
        <v>170</v>
      </c>
      <c r="G18" s="49" t="s">
        <v>139</v>
      </c>
      <c r="H18" s="49" t="s">
        <v>171</v>
      </c>
      <c r="I18" s="50" t="s">
        <v>5</v>
      </c>
    </row>
    <row r="19" spans="1:9">
      <c r="A19" s="48" t="s">
        <v>162</v>
      </c>
      <c r="B19" s="49" t="s">
        <v>172</v>
      </c>
      <c r="C19" s="49" t="s">
        <v>173</v>
      </c>
      <c r="D19" s="49" t="s">
        <v>125</v>
      </c>
      <c r="E19" s="49" t="s">
        <v>174</v>
      </c>
      <c r="F19" s="49" t="s">
        <v>138</v>
      </c>
      <c r="G19" s="49" t="s">
        <v>139</v>
      </c>
      <c r="H19" s="49" t="s">
        <v>175</v>
      </c>
      <c r="I19" s="50" t="s">
        <v>5</v>
      </c>
    </row>
    <row r="20" spans="1:9">
      <c r="A20" s="63" t="s">
        <v>162</v>
      </c>
      <c r="B20" s="64" t="s">
        <v>135</v>
      </c>
      <c r="C20" s="64" t="s">
        <v>136</v>
      </c>
      <c r="D20" s="64" t="s">
        <v>176</v>
      </c>
      <c r="E20" s="64">
        <v>0</v>
      </c>
      <c r="F20" s="64" t="s">
        <v>138</v>
      </c>
      <c r="G20" s="64" t="s">
        <v>139</v>
      </c>
      <c r="H20" s="64" t="s">
        <v>140</v>
      </c>
      <c r="I20" s="65" t="s">
        <v>5</v>
      </c>
    </row>
    <row r="21" spans="1:9">
      <c r="A21" s="63" t="s">
        <v>162</v>
      </c>
      <c r="B21" s="64" t="s">
        <v>135</v>
      </c>
      <c r="C21" s="64" t="s">
        <v>136</v>
      </c>
      <c r="D21" s="64" t="s">
        <v>177</v>
      </c>
      <c r="E21" s="64">
        <v>1</v>
      </c>
      <c r="F21" s="64" t="s">
        <v>138</v>
      </c>
      <c r="G21" s="64" t="s">
        <v>139</v>
      </c>
      <c r="H21" s="64" t="s">
        <v>140</v>
      </c>
      <c r="I21" s="65" t="s">
        <v>5</v>
      </c>
    </row>
    <row r="22" spans="1:9">
      <c r="A22" s="66" t="s">
        <v>162</v>
      </c>
      <c r="B22" s="67" t="s">
        <v>142</v>
      </c>
      <c r="C22" s="67" t="s">
        <v>155</v>
      </c>
      <c r="D22" s="67" t="s">
        <v>125</v>
      </c>
      <c r="E22" s="67" t="s">
        <v>178</v>
      </c>
      <c r="F22" s="67" t="s">
        <v>133</v>
      </c>
      <c r="G22" s="67" t="s">
        <v>157</v>
      </c>
      <c r="H22" s="67" t="s">
        <v>179</v>
      </c>
      <c r="I22" s="68" t="s">
        <v>5</v>
      </c>
    </row>
    <row r="23" spans="1:9">
      <c r="A23" s="66" t="s">
        <v>162</v>
      </c>
      <c r="B23" s="67" t="s">
        <v>142</v>
      </c>
      <c r="C23" s="67" t="s">
        <v>180</v>
      </c>
      <c r="D23" s="67" t="s">
        <v>125</v>
      </c>
      <c r="E23" s="67">
        <v>0.5</v>
      </c>
      <c r="F23" s="67" t="s">
        <v>148</v>
      </c>
      <c r="G23" s="67" t="s">
        <v>139</v>
      </c>
      <c r="H23" s="67" t="s">
        <v>181</v>
      </c>
      <c r="I23" s="68" t="s">
        <v>5</v>
      </c>
    </row>
    <row r="24" spans="1:9">
      <c r="A24" s="66" t="s">
        <v>162</v>
      </c>
      <c r="B24" s="67" t="s">
        <v>142</v>
      </c>
      <c r="C24" s="67" t="s">
        <v>159</v>
      </c>
      <c r="D24" s="67" t="s">
        <v>125</v>
      </c>
      <c r="E24" s="67" t="s">
        <v>182</v>
      </c>
      <c r="F24" s="67" t="s">
        <v>133</v>
      </c>
      <c r="G24" s="67" t="s">
        <v>139</v>
      </c>
      <c r="H24" s="67" t="s">
        <v>183</v>
      </c>
      <c r="I24" s="68" t="s">
        <v>5</v>
      </c>
    </row>
    <row r="25" spans="1:9">
      <c r="A25" s="69" t="s">
        <v>162</v>
      </c>
      <c r="B25" s="70" t="s">
        <v>142</v>
      </c>
      <c r="C25" s="70" t="s">
        <v>184</v>
      </c>
      <c r="D25" s="70" t="s">
        <v>125</v>
      </c>
      <c r="E25" s="70" t="s">
        <v>185</v>
      </c>
      <c r="F25" s="70" t="s">
        <v>133</v>
      </c>
      <c r="G25" s="70" t="s">
        <v>157</v>
      </c>
      <c r="H25" s="70" t="s">
        <v>186</v>
      </c>
      <c r="I25" s="71" t="s">
        <v>5</v>
      </c>
    </row>
    <row r="26" spans="1:9">
      <c r="A26" s="60" t="s">
        <v>187</v>
      </c>
      <c r="B26" s="61" t="s">
        <v>187</v>
      </c>
      <c r="C26" s="61" t="s">
        <v>188</v>
      </c>
      <c r="D26" s="61" t="s">
        <v>125</v>
      </c>
      <c r="E26" s="61">
        <v>36</v>
      </c>
      <c r="F26" s="61" t="s">
        <v>23</v>
      </c>
      <c r="G26" s="61" t="s">
        <v>189</v>
      </c>
      <c r="H26" s="61" t="s">
        <v>190</v>
      </c>
      <c r="I26" s="62" t="s">
        <v>5</v>
      </c>
    </row>
    <row r="27" spans="1:9">
      <c r="A27" s="60" t="s">
        <v>187</v>
      </c>
      <c r="B27" s="61" t="s">
        <v>187</v>
      </c>
      <c r="C27" s="61" t="s">
        <v>191</v>
      </c>
      <c r="D27" s="61" t="s">
        <v>125</v>
      </c>
      <c r="E27" s="61">
        <v>4</v>
      </c>
      <c r="F27" s="61" t="s">
        <v>23</v>
      </c>
      <c r="G27" s="61" t="s">
        <v>189</v>
      </c>
      <c r="H27" s="61" t="s">
        <v>192</v>
      </c>
      <c r="I27" s="62" t="s">
        <v>5</v>
      </c>
    </row>
    <row r="28" spans="1:9">
      <c r="A28" s="60" t="s">
        <v>187</v>
      </c>
      <c r="B28" s="61" t="s">
        <v>187</v>
      </c>
      <c r="C28" s="61" t="s">
        <v>193</v>
      </c>
      <c r="D28" s="61" t="s">
        <v>125</v>
      </c>
      <c r="E28" s="61">
        <v>40</v>
      </c>
      <c r="F28" s="61" t="s">
        <v>194</v>
      </c>
      <c r="G28" s="61" t="s">
        <v>189</v>
      </c>
      <c r="H28" s="61" t="s">
        <v>195</v>
      </c>
      <c r="I28" s="62" t="s">
        <v>5</v>
      </c>
    </row>
    <row r="29" spans="1:9">
      <c r="A29" s="60" t="s">
        <v>187</v>
      </c>
      <c r="B29" s="61" t="s">
        <v>187</v>
      </c>
      <c r="C29" s="61" t="s">
        <v>196</v>
      </c>
      <c r="D29" s="61" t="s">
        <v>125</v>
      </c>
      <c r="E29" s="61" t="s">
        <v>197</v>
      </c>
      <c r="F29" s="61" t="s">
        <v>198</v>
      </c>
      <c r="G29" s="61" t="s">
        <v>189</v>
      </c>
      <c r="H29" s="61" t="s">
        <v>199</v>
      </c>
      <c r="I29" s="62" t="s">
        <v>130</v>
      </c>
    </row>
    <row r="30" spans="1:9">
      <c r="A30" s="60" t="s">
        <v>187</v>
      </c>
      <c r="B30" s="61" t="s">
        <v>187</v>
      </c>
      <c r="C30" s="61" t="s">
        <v>200</v>
      </c>
      <c r="D30" s="61" t="s">
        <v>125</v>
      </c>
      <c r="E30" s="61">
        <v>1</v>
      </c>
      <c r="F30" s="61" t="s">
        <v>201</v>
      </c>
      <c r="G30" s="61" t="s">
        <v>139</v>
      </c>
      <c r="H30" s="61" t="s">
        <v>202</v>
      </c>
      <c r="I30" s="62" t="s">
        <v>5</v>
      </c>
    </row>
    <row r="31" spans="1:9">
      <c r="A31" s="48" t="s">
        <v>187</v>
      </c>
      <c r="B31" s="49" t="s">
        <v>187</v>
      </c>
      <c r="C31" s="49" t="s">
        <v>203</v>
      </c>
      <c r="D31" s="49" t="s">
        <v>125</v>
      </c>
      <c r="E31" s="72">
        <v>400</v>
      </c>
      <c r="F31" s="49" t="s">
        <v>204</v>
      </c>
      <c r="G31" s="49" t="s">
        <v>139</v>
      </c>
      <c r="H31" s="73" t="s">
        <v>205</v>
      </c>
      <c r="I31" s="50" t="s">
        <v>5</v>
      </c>
    </row>
    <row r="32" spans="1:9">
      <c r="A32" s="60" t="s">
        <v>187</v>
      </c>
      <c r="B32" s="61" t="s">
        <v>187</v>
      </c>
      <c r="C32" s="61" t="s">
        <v>131</v>
      </c>
      <c r="D32" s="61" t="s">
        <v>125</v>
      </c>
      <c r="E32" s="61" t="s">
        <v>206</v>
      </c>
      <c r="F32" s="61" t="s">
        <v>133</v>
      </c>
      <c r="G32" s="61" t="s">
        <v>157</v>
      </c>
      <c r="H32" s="61" t="s">
        <v>207</v>
      </c>
      <c r="I32" s="62" t="s">
        <v>5</v>
      </c>
    </row>
    <row r="33" spans="1:9">
      <c r="A33" s="66" t="s">
        <v>187</v>
      </c>
      <c r="B33" s="67" t="s">
        <v>142</v>
      </c>
      <c r="C33" s="67" t="s">
        <v>143</v>
      </c>
      <c r="D33" s="67" t="s">
        <v>125</v>
      </c>
      <c r="E33" s="67">
        <v>1</v>
      </c>
      <c r="F33" s="67" t="s">
        <v>138</v>
      </c>
      <c r="G33" s="67" t="s">
        <v>139</v>
      </c>
      <c r="H33" s="67" t="s">
        <v>208</v>
      </c>
      <c r="I33" s="68" t="s">
        <v>5</v>
      </c>
    </row>
    <row r="34" spans="1:9">
      <c r="A34" s="66" t="s">
        <v>187</v>
      </c>
      <c r="B34" s="67" t="s">
        <v>142</v>
      </c>
      <c r="C34" s="67" t="s">
        <v>209</v>
      </c>
      <c r="D34" s="67" t="s">
        <v>125</v>
      </c>
      <c r="E34" s="67" t="s">
        <v>210</v>
      </c>
      <c r="F34" s="67" t="s">
        <v>133</v>
      </c>
      <c r="G34" s="67" t="s">
        <v>157</v>
      </c>
      <c r="H34" s="67" t="s">
        <v>211</v>
      </c>
      <c r="I34" s="68" t="s">
        <v>5</v>
      </c>
    </row>
    <row r="35" spans="1:9">
      <c r="A35" s="66" t="s">
        <v>187</v>
      </c>
      <c r="B35" s="67" t="s">
        <v>142</v>
      </c>
      <c r="C35" s="67" t="s">
        <v>180</v>
      </c>
      <c r="D35" s="67" t="s">
        <v>125</v>
      </c>
      <c r="E35" s="67">
        <v>0.5</v>
      </c>
      <c r="F35" s="67" t="s">
        <v>148</v>
      </c>
      <c r="G35" s="67" t="s">
        <v>139</v>
      </c>
      <c r="H35" s="67" t="s">
        <v>212</v>
      </c>
      <c r="I35" s="68" t="s">
        <v>5</v>
      </c>
    </row>
    <row r="36" spans="1:9">
      <c r="A36" s="66" t="s">
        <v>187</v>
      </c>
      <c r="B36" s="67" t="s">
        <v>142</v>
      </c>
      <c r="C36" s="67" t="s">
        <v>159</v>
      </c>
      <c r="D36" s="67" t="s">
        <v>125</v>
      </c>
      <c r="E36" s="67" t="s">
        <v>213</v>
      </c>
      <c r="F36" s="67" t="s">
        <v>133</v>
      </c>
      <c r="G36" s="67" t="s">
        <v>139</v>
      </c>
      <c r="H36" s="67" t="s">
        <v>214</v>
      </c>
      <c r="I36" s="68" t="s">
        <v>5</v>
      </c>
    </row>
    <row r="37" spans="1:9">
      <c r="A37" s="66" t="s">
        <v>187</v>
      </c>
      <c r="B37" s="67" t="s">
        <v>142</v>
      </c>
      <c r="C37" s="67" t="s">
        <v>184</v>
      </c>
      <c r="D37" s="67" t="s">
        <v>125</v>
      </c>
      <c r="E37" s="67" t="s">
        <v>215</v>
      </c>
      <c r="F37" s="67" t="s">
        <v>133</v>
      </c>
      <c r="G37" s="67" t="s">
        <v>157</v>
      </c>
      <c r="H37" s="67" t="s">
        <v>216</v>
      </c>
      <c r="I37" s="68" t="s">
        <v>5</v>
      </c>
    </row>
    <row r="38" spans="1:9">
      <c r="A38" s="66" t="s">
        <v>187</v>
      </c>
      <c r="B38" s="67" t="s">
        <v>142</v>
      </c>
      <c r="C38" s="67" t="s">
        <v>217</v>
      </c>
      <c r="D38" s="67" t="s">
        <v>125</v>
      </c>
      <c r="E38" s="67" t="s">
        <v>218</v>
      </c>
      <c r="F38" s="67" t="s">
        <v>219</v>
      </c>
      <c r="G38" s="67" t="s">
        <v>189</v>
      </c>
      <c r="H38" s="67" t="s">
        <v>220</v>
      </c>
      <c r="I38" s="68" t="s">
        <v>5</v>
      </c>
    </row>
    <row r="39" spans="1:9">
      <c r="A39" s="60" t="s">
        <v>187</v>
      </c>
      <c r="B39" s="61" t="s">
        <v>221</v>
      </c>
      <c r="C39" s="61" t="s">
        <v>222</v>
      </c>
      <c r="D39" s="61" t="s">
        <v>125</v>
      </c>
      <c r="E39" s="61" t="s">
        <v>223</v>
      </c>
      <c r="F39" s="61" t="s">
        <v>133</v>
      </c>
      <c r="G39" s="61" t="s">
        <v>139</v>
      </c>
      <c r="H39" s="61" t="s">
        <v>224</v>
      </c>
      <c r="I39" s="62" t="s">
        <v>5</v>
      </c>
    </row>
    <row r="40" spans="1:9">
      <c r="A40" s="57" t="s">
        <v>225</v>
      </c>
      <c r="B40" s="58" t="s">
        <v>226</v>
      </c>
      <c r="C40" s="58" t="s">
        <v>227</v>
      </c>
      <c r="D40" s="58" t="s">
        <v>228</v>
      </c>
      <c r="E40" s="58" t="s">
        <v>229</v>
      </c>
      <c r="F40" s="58" t="s">
        <v>230</v>
      </c>
      <c r="G40" s="58" t="s">
        <v>128</v>
      </c>
      <c r="H40" s="58" t="s">
        <v>231</v>
      </c>
      <c r="I40" s="59" t="s">
        <v>5</v>
      </c>
    </row>
    <row r="41" spans="1:9">
      <c r="A41" s="60" t="s">
        <v>225</v>
      </c>
      <c r="B41" s="61" t="s">
        <v>226</v>
      </c>
      <c r="C41" s="61" t="s">
        <v>232</v>
      </c>
      <c r="D41" s="61" t="s">
        <v>228</v>
      </c>
      <c r="E41" s="61" t="s">
        <v>233</v>
      </c>
      <c r="F41" s="61" t="s">
        <v>234</v>
      </c>
      <c r="G41" s="61" t="s">
        <v>128</v>
      </c>
      <c r="H41" s="61" t="s">
        <v>235</v>
      </c>
      <c r="I41" s="62" t="s">
        <v>5</v>
      </c>
    </row>
    <row r="42" spans="1:9">
      <c r="A42" s="60" t="s">
        <v>225</v>
      </c>
      <c r="B42" s="61" t="s">
        <v>226</v>
      </c>
      <c r="C42" s="61" t="s">
        <v>236</v>
      </c>
      <c r="D42" s="61" t="s">
        <v>237</v>
      </c>
      <c r="E42" s="61">
        <v>675</v>
      </c>
      <c r="F42" s="61" t="s">
        <v>238</v>
      </c>
      <c r="G42" s="61" t="s">
        <v>121</v>
      </c>
      <c r="H42" s="61" t="s">
        <v>239</v>
      </c>
      <c r="I42" s="62" t="s">
        <v>5</v>
      </c>
    </row>
    <row r="43" spans="1:9">
      <c r="A43" s="60" t="s">
        <v>225</v>
      </c>
      <c r="B43" s="61" t="s">
        <v>226</v>
      </c>
      <c r="C43" s="61" t="s">
        <v>236</v>
      </c>
      <c r="D43" s="61" t="s">
        <v>240</v>
      </c>
      <c r="E43" s="61">
        <v>1000</v>
      </c>
      <c r="F43" s="61" t="s">
        <v>238</v>
      </c>
      <c r="G43" s="61" t="s">
        <v>121</v>
      </c>
      <c r="H43" s="61" t="s">
        <v>239</v>
      </c>
      <c r="I43" s="62" t="s">
        <v>5</v>
      </c>
    </row>
    <row r="44" spans="1:9">
      <c r="A44" s="60" t="s">
        <v>225</v>
      </c>
      <c r="B44" s="61" t="s">
        <v>226</v>
      </c>
      <c r="C44" s="61" t="s">
        <v>241</v>
      </c>
      <c r="D44" s="61" t="s">
        <v>125</v>
      </c>
      <c r="E44" s="61" t="s">
        <v>242</v>
      </c>
      <c r="F44" s="61" t="s">
        <v>133</v>
      </c>
      <c r="G44" s="61" t="s">
        <v>128</v>
      </c>
      <c r="H44" s="61" t="s">
        <v>243</v>
      </c>
      <c r="I44" s="62" t="s">
        <v>5</v>
      </c>
    </row>
    <row r="45" spans="1:9">
      <c r="A45" s="60" t="s">
        <v>225</v>
      </c>
      <c r="B45" s="61" t="s">
        <v>226</v>
      </c>
      <c r="C45" s="61" t="s">
        <v>236</v>
      </c>
      <c r="D45" s="61" t="s">
        <v>244</v>
      </c>
      <c r="E45" s="61">
        <v>80</v>
      </c>
      <c r="F45" s="61" t="s">
        <v>238</v>
      </c>
      <c r="G45" s="61" t="s">
        <v>121</v>
      </c>
      <c r="H45" s="61" t="s">
        <v>245</v>
      </c>
      <c r="I45" s="62" t="s">
        <v>5</v>
      </c>
    </row>
    <row r="46" spans="1:9">
      <c r="A46" s="60" t="s">
        <v>225</v>
      </c>
      <c r="B46" s="61" t="s">
        <v>226</v>
      </c>
      <c r="C46" s="61" t="s">
        <v>236</v>
      </c>
      <c r="D46" s="61" t="s">
        <v>246</v>
      </c>
      <c r="E46" s="61">
        <v>150</v>
      </c>
      <c r="F46" s="61" t="s">
        <v>238</v>
      </c>
      <c r="G46" s="61" t="s">
        <v>121</v>
      </c>
      <c r="H46" s="61" t="s">
        <v>247</v>
      </c>
      <c r="I46" s="62" t="s">
        <v>5</v>
      </c>
    </row>
    <row r="47" spans="1:9">
      <c r="A47" s="60" t="s">
        <v>225</v>
      </c>
      <c r="B47" s="61" t="s">
        <v>226</v>
      </c>
      <c r="C47" s="61" t="s">
        <v>236</v>
      </c>
      <c r="D47" s="61" t="s">
        <v>248</v>
      </c>
      <c r="E47" s="61">
        <v>150</v>
      </c>
      <c r="F47" s="61" t="s">
        <v>238</v>
      </c>
      <c r="G47" s="61" t="s">
        <v>121</v>
      </c>
      <c r="H47" s="61" t="s">
        <v>245</v>
      </c>
      <c r="I47" s="62" t="s">
        <v>5</v>
      </c>
    </row>
    <row r="48" spans="1:9">
      <c r="A48" s="75" t="s">
        <v>225</v>
      </c>
      <c r="B48" s="61" t="s">
        <v>226</v>
      </c>
      <c r="C48" s="61" t="s">
        <v>236</v>
      </c>
      <c r="D48" s="61" t="s">
        <v>249</v>
      </c>
      <c r="E48" s="61">
        <v>300</v>
      </c>
      <c r="F48" s="61" t="s">
        <v>238</v>
      </c>
      <c r="G48" s="61" t="s">
        <v>121</v>
      </c>
      <c r="H48" s="61" t="s">
        <v>247</v>
      </c>
      <c r="I48" s="62" t="s">
        <v>5</v>
      </c>
    </row>
    <row r="49" spans="1:9">
      <c r="A49" s="60" t="s">
        <v>225</v>
      </c>
      <c r="B49" s="61" t="s">
        <v>226</v>
      </c>
      <c r="C49" s="61" t="s">
        <v>236</v>
      </c>
      <c r="D49" s="61" t="s">
        <v>250</v>
      </c>
      <c r="E49" s="61">
        <v>300</v>
      </c>
      <c r="F49" s="61" t="s">
        <v>238</v>
      </c>
      <c r="G49" s="61" t="s">
        <v>121</v>
      </c>
      <c r="H49" s="61" t="s">
        <v>245</v>
      </c>
      <c r="I49" s="62" t="s">
        <v>5</v>
      </c>
    </row>
    <row r="50" spans="1:9">
      <c r="A50" s="60" t="s">
        <v>225</v>
      </c>
      <c r="B50" s="61" t="s">
        <v>226</v>
      </c>
      <c r="C50" s="61" t="s">
        <v>236</v>
      </c>
      <c r="D50" s="61" t="s">
        <v>251</v>
      </c>
      <c r="E50" s="61">
        <v>300</v>
      </c>
      <c r="F50" s="61" t="s">
        <v>238</v>
      </c>
      <c r="G50" s="61" t="s">
        <v>121</v>
      </c>
      <c r="H50" s="61" t="s">
        <v>247</v>
      </c>
      <c r="I50" s="62" t="s">
        <v>5</v>
      </c>
    </row>
    <row r="51" spans="1:9">
      <c r="A51" s="60" t="s">
        <v>225</v>
      </c>
      <c r="B51" s="61" t="s">
        <v>226</v>
      </c>
      <c r="C51" s="61" t="s">
        <v>252</v>
      </c>
      <c r="D51" s="61" t="s">
        <v>125</v>
      </c>
      <c r="E51" s="61" t="s">
        <v>253</v>
      </c>
      <c r="F51" s="61" t="s">
        <v>133</v>
      </c>
      <c r="G51" s="61" t="s">
        <v>128</v>
      </c>
      <c r="H51" s="61" t="s">
        <v>254</v>
      </c>
      <c r="I51" s="62" t="s">
        <v>5</v>
      </c>
    </row>
    <row r="52" spans="1:9">
      <c r="A52" s="54" t="s">
        <v>225</v>
      </c>
      <c r="B52" s="55" t="s">
        <v>226</v>
      </c>
      <c r="C52" s="55" t="s">
        <v>255</v>
      </c>
      <c r="D52" s="55" t="s">
        <v>125</v>
      </c>
      <c r="E52" s="55" t="s">
        <v>256</v>
      </c>
      <c r="F52" s="55" t="s">
        <v>133</v>
      </c>
      <c r="G52" s="55" t="s">
        <v>128</v>
      </c>
      <c r="H52" s="55" t="s">
        <v>257</v>
      </c>
      <c r="I52" s="56" t="s">
        <v>5</v>
      </c>
    </row>
    <row r="53" spans="1:9">
      <c r="A53" s="60" t="s">
        <v>258</v>
      </c>
      <c r="B53" s="61" t="s">
        <v>259</v>
      </c>
      <c r="C53" s="61" t="s">
        <v>260</v>
      </c>
      <c r="D53" s="61" t="s">
        <v>261</v>
      </c>
      <c r="E53" s="61">
        <v>104.04</v>
      </c>
      <c r="F53" s="61" t="s">
        <v>262</v>
      </c>
      <c r="G53" s="61" t="s">
        <v>121</v>
      </c>
      <c r="H53" s="61" t="s">
        <v>263</v>
      </c>
      <c r="I53" s="62" t="s">
        <v>5</v>
      </c>
    </row>
    <row r="54" spans="1:9">
      <c r="A54" s="60" t="s">
        <v>258</v>
      </c>
      <c r="B54" s="61" t="s">
        <v>264</v>
      </c>
      <c r="C54" s="61" t="s">
        <v>260</v>
      </c>
      <c r="D54" s="61" t="s">
        <v>265</v>
      </c>
      <c r="E54" s="61">
        <v>51.84</v>
      </c>
      <c r="F54" s="61" t="s">
        <v>262</v>
      </c>
      <c r="G54" s="61" t="s">
        <v>121</v>
      </c>
      <c r="H54" s="61" t="s">
        <v>266</v>
      </c>
      <c r="I54" s="62" t="s">
        <v>5</v>
      </c>
    </row>
    <row r="55" spans="1:9">
      <c r="A55" s="60" t="s">
        <v>258</v>
      </c>
      <c r="B55" s="61" t="s">
        <v>267</v>
      </c>
      <c r="C55" s="61" t="s">
        <v>260</v>
      </c>
      <c r="D55" s="61" t="s">
        <v>268</v>
      </c>
      <c r="E55" s="64">
        <v>2000</v>
      </c>
      <c r="F55" s="61" t="s">
        <v>269</v>
      </c>
      <c r="G55" s="61" t="s">
        <v>139</v>
      </c>
      <c r="H55" s="61" t="s">
        <v>270</v>
      </c>
      <c r="I55" s="62" t="s">
        <v>5</v>
      </c>
    </row>
    <row r="56" spans="1:9">
      <c r="A56" s="60" t="s">
        <v>258</v>
      </c>
      <c r="B56" s="61" t="s">
        <v>271</v>
      </c>
      <c r="C56" s="61" t="s">
        <v>131</v>
      </c>
      <c r="D56" s="61" t="s">
        <v>261</v>
      </c>
      <c r="E56" s="61" t="s">
        <v>272</v>
      </c>
      <c r="F56" s="61" t="s">
        <v>133</v>
      </c>
      <c r="G56" s="61" t="s">
        <v>128</v>
      </c>
      <c r="H56" s="61" t="s">
        <v>273</v>
      </c>
      <c r="I56" s="62" t="s">
        <v>5</v>
      </c>
    </row>
    <row r="57" spans="1:9">
      <c r="A57" s="60" t="s">
        <v>258</v>
      </c>
      <c r="B57" s="61" t="s">
        <v>271</v>
      </c>
      <c r="C57" s="61" t="s">
        <v>131</v>
      </c>
      <c r="D57" s="61" t="s">
        <v>265</v>
      </c>
      <c r="E57" s="61" t="s">
        <v>274</v>
      </c>
      <c r="F57" s="61" t="s">
        <v>133</v>
      </c>
      <c r="G57" s="61" t="s">
        <v>128</v>
      </c>
      <c r="H57" s="61" t="s">
        <v>273</v>
      </c>
      <c r="I57" s="62" t="s">
        <v>5</v>
      </c>
    </row>
    <row r="58" spans="1:9">
      <c r="A58" s="60" t="s">
        <v>258</v>
      </c>
      <c r="B58" s="61" t="s">
        <v>271</v>
      </c>
      <c r="C58" s="61" t="s">
        <v>131</v>
      </c>
      <c r="D58" s="61" t="s">
        <v>268</v>
      </c>
      <c r="E58" s="61" t="s">
        <v>275</v>
      </c>
      <c r="F58" s="61" t="s">
        <v>133</v>
      </c>
      <c r="G58" s="61" t="s">
        <v>139</v>
      </c>
      <c r="H58" s="61" t="s">
        <v>276</v>
      </c>
      <c r="I58" s="62" t="s">
        <v>5</v>
      </c>
    </row>
    <row r="59" spans="1:9">
      <c r="A59" s="60" t="s">
        <v>258</v>
      </c>
      <c r="B59" s="61" t="s">
        <v>277</v>
      </c>
      <c r="C59" s="61" t="s">
        <v>278</v>
      </c>
      <c r="D59" s="61" t="s">
        <v>125</v>
      </c>
      <c r="E59" s="61" t="s">
        <v>279</v>
      </c>
      <c r="F59" s="61" t="s">
        <v>138</v>
      </c>
      <c r="G59" s="61" t="s">
        <v>157</v>
      </c>
      <c r="H59" s="61" t="s">
        <v>280</v>
      </c>
      <c r="I59" s="62" t="s">
        <v>5</v>
      </c>
    </row>
    <row r="60" spans="1:9">
      <c r="A60" s="60" t="s">
        <v>258</v>
      </c>
      <c r="B60" s="61" t="s">
        <v>281</v>
      </c>
      <c r="C60" s="61" t="s">
        <v>278</v>
      </c>
      <c r="D60" s="61" t="s">
        <v>125</v>
      </c>
      <c r="E60" s="61" t="s">
        <v>282</v>
      </c>
      <c r="F60" s="61" t="s">
        <v>138</v>
      </c>
      <c r="G60" s="61" t="s">
        <v>157</v>
      </c>
      <c r="H60" s="61" t="s">
        <v>283</v>
      </c>
      <c r="I60" s="62" t="s">
        <v>5</v>
      </c>
    </row>
    <row r="61" spans="1:9">
      <c r="A61" s="45" t="s">
        <v>284</v>
      </c>
      <c r="B61" s="46" t="s">
        <v>285</v>
      </c>
      <c r="C61" s="46" t="s">
        <v>260</v>
      </c>
      <c r="D61" s="46" t="s">
        <v>286</v>
      </c>
      <c r="E61" s="46">
        <v>250</v>
      </c>
      <c r="F61" s="46" t="s">
        <v>287</v>
      </c>
      <c r="G61" s="46" t="s">
        <v>139</v>
      </c>
      <c r="H61" s="46" t="s">
        <v>288</v>
      </c>
      <c r="I61" s="47" t="s">
        <v>5</v>
      </c>
    </row>
    <row r="62" spans="1:9">
      <c r="A62" s="48" t="s">
        <v>284</v>
      </c>
      <c r="B62" s="49" t="s">
        <v>289</v>
      </c>
      <c r="C62" s="49" t="s">
        <v>260</v>
      </c>
      <c r="D62" s="49" t="s">
        <v>290</v>
      </c>
      <c r="E62" s="49">
        <v>200</v>
      </c>
      <c r="F62" s="49" t="s">
        <v>287</v>
      </c>
      <c r="G62" s="49" t="s">
        <v>139</v>
      </c>
      <c r="H62" s="49" t="s">
        <v>291</v>
      </c>
      <c r="I62" s="50" t="s">
        <v>5</v>
      </c>
    </row>
    <row r="63" spans="1:9">
      <c r="A63" s="48" t="s">
        <v>284</v>
      </c>
      <c r="B63" s="49" t="s">
        <v>292</v>
      </c>
      <c r="C63" s="49" t="s">
        <v>260</v>
      </c>
      <c r="D63" s="49" t="s">
        <v>293</v>
      </c>
      <c r="E63" s="49">
        <v>250</v>
      </c>
      <c r="F63" s="49" t="s">
        <v>287</v>
      </c>
      <c r="G63" s="49" t="s">
        <v>139</v>
      </c>
      <c r="H63" s="49" t="s">
        <v>294</v>
      </c>
      <c r="I63" s="50" t="s">
        <v>5</v>
      </c>
    </row>
    <row r="64" spans="1:9">
      <c r="A64" s="48" t="s">
        <v>284</v>
      </c>
      <c r="B64" s="49" t="s">
        <v>295</v>
      </c>
      <c r="C64" s="49" t="s">
        <v>131</v>
      </c>
      <c r="D64" s="49" t="s">
        <v>286</v>
      </c>
      <c r="E64" s="49" t="s">
        <v>296</v>
      </c>
      <c r="F64" s="49" t="s">
        <v>133</v>
      </c>
      <c r="G64" s="49" t="s">
        <v>139</v>
      </c>
      <c r="H64" s="49" t="s">
        <v>297</v>
      </c>
      <c r="I64" s="50" t="s">
        <v>5</v>
      </c>
    </row>
    <row r="65" spans="1:9">
      <c r="A65" s="48" t="s">
        <v>284</v>
      </c>
      <c r="B65" s="49" t="s">
        <v>295</v>
      </c>
      <c r="C65" s="49" t="s">
        <v>131</v>
      </c>
      <c r="D65" s="49" t="s">
        <v>290</v>
      </c>
      <c r="E65" s="49" t="s">
        <v>298</v>
      </c>
      <c r="F65" s="49" t="s">
        <v>133</v>
      </c>
      <c r="G65" s="49" t="s">
        <v>139</v>
      </c>
      <c r="H65" s="49" t="s">
        <v>299</v>
      </c>
      <c r="I65" s="50" t="s">
        <v>5</v>
      </c>
    </row>
    <row r="66" spans="1:9">
      <c r="A66" s="48" t="s">
        <v>284</v>
      </c>
      <c r="B66" s="49" t="s">
        <v>300</v>
      </c>
      <c r="C66" s="49" t="s">
        <v>131</v>
      </c>
      <c r="D66" s="49" t="s">
        <v>293</v>
      </c>
      <c r="E66" s="49" t="s">
        <v>296</v>
      </c>
      <c r="F66" s="49" t="s">
        <v>133</v>
      </c>
      <c r="G66" s="49" t="s">
        <v>139</v>
      </c>
      <c r="H66" s="49" t="s">
        <v>301</v>
      </c>
      <c r="I66" s="50" t="s">
        <v>5</v>
      </c>
    </row>
    <row r="67" spans="1:9">
      <c r="A67" s="54" t="s">
        <v>284</v>
      </c>
      <c r="B67" s="55" t="s">
        <v>302</v>
      </c>
      <c r="C67" s="55" t="s">
        <v>278</v>
      </c>
      <c r="D67" s="55" t="s">
        <v>125</v>
      </c>
      <c r="E67" s="55" t="s">
        <v>303</v>
      </c>
      <c r="F67" s="55" t="s">
        <v>138</v>
      </c>
      <c r="G67" s="55" t="s">
        <v>157</v>
      </c>
      <c r="H67" s="55" t="s">
        <v>304</v>
      </c>
      <c r="I67" s="56" t="s">
        <v>5</v>
      </c>
    </row>
    <row r="68" spans="1:9">
      <c r="A68" s="48" t="s">
        <v>305</v>
      </c>
      <c r="B68" s="49" t="s">
        <v>306</v>
      </c>
      <c r="C68" s="49" t="s">
        <v>307</v>
      </c>
      <c r="D68" s="49" t="s">
        <v>125</v>
      </c>
      <c r="E68" s="49">
        <v>100</v>
      </c>
      <c r="F68" s="49" t="s">
        <v>308</v>
      </c>
      <c r="G68" s="49" t="s">
        <v>139</v>
      </c>
      <c r="H68" s="49" t="s">
        <v>309</v>
      </c>
      <c r="I68" s="50" t="s">
        <v>5</v>
      </c>
    </row>
    <row r="69" spans="1:9">
      <c r="A69" s="48" t="s">
        <v>305</v>
      </c>
      <c r="B69" s="49" t="s">
        <v>306</v>
      </c>
      <c r="C69" s="49" t="s">
        <v>131</v>
      </c>
      <c r="D69" s="49" t="s">
        <v>125</v>
      </c>
      <c r="E69" s="49" t="s">
        <v>310</v>
      </c>
      <c r="F69" s="49" t="s">
        <v>133</v>
      </c>
      <c r="G69" s="49" t="s">
        <v>139</v>
      </c>
      <c r="H69" s="49" t="s">
        <v>311</v>
      </c>
      <c r="I69" s="50" t="s">
        <v>5</v>
      </c>
    </row>
    <row r="70" spans="1:9">
      <c r="A70" s="48" t="s">
        <v>305</v>
      </c>
      <c r="B70" s="49" t="s">
        <v>312</v>
      </c>
      <c r="C70" s="49" t="s">
        <v>313</v>
      </c>
      <c r="D70" s="49" t="s">
        <v>125</v>
      </c>
      <c r="E70" s="49">
        <v>1</v>
      </c>
      <c r="F70" s="49" t="s">
        <v>314</v>
      </c>
      <c r="G70" s="49" t="s">
        <v>139</v>
      </c>
      <c r="H70" s="49" t="s">
        <v>315</v>
      </c>
      <c r="I70" s="50" t="s">
        <v>5</v>
      </c>
    </row>
    <row r="71" spans="1:9">
      <c r="A71" s="48" t="s">
        <v>305</v>
      </c>
      <c r="B71" s="49" t="s">
        <v>312</v>
      </c>
      <c r="C71" s="49" t="s">
        <v>131</v>
      </c>
      <c r="D71" s="49" t="s">
        <v>125</v>
      </c>
      <c r="E71" s="49" t="s">
        <v>316</v>
      </c>
      <c r="F71" s="49" t="s">
        <v>133</v>
      </c>
      <c r="G71" s="49" t="s">
        <v>139</v>
      </c>
      <c r="H71" s="49" t="s">
        <v>317</v>
      </c>
      <c r="I71" s="50" t="s">
        <v>5</v>
      </c>
    </row>
    <row r="72" spans="1:9">
      <c r="A72" s="48" t="s">
        <v>305</v>
      </c>
      <c r="B72" s="49" t="s">
        <v>318</v>
      </c>
      <c r="C72" s="49" t="s">
        <v>255</v>
      </c>
      <c r="D72" s="49" t="s">
        <v>125</v>
      </c>
      <c r="E72" s="49" t="s">
        <v>319</v>
      </c>
      <c r="F72" s="49" t="s">
        <v>133</v>
      </c>
      <c r="G72" s="49" t="s">
        <v>139</v>
      </c>
      <c r="H72" s="49" t="s">
        <v>320</v>
      </c>
      <c r="I72" s="50" t="s">
        <v>5</v>
      </c>
    </row>
    <row r="73" spans="1:9">
      <c r="A73" s="45" t="s">
        <v>321</v>
      </c>
      <c r="B73" s="46" t="s">
        <v>322</v>
      </c>
      <c r="C73" s="46" t="s">
        <v>323</v>
      </c>
      <c r="D73" s="46" t="s">
        <v>125</v>
      </c>
      <c r="E73" s="46">
        <v>1</v>
      </c>
      <c r="F73" s="46" t="s">
        <v>324</v>
      </c>
      <c r="G73" s="46" t="s">
        <v>157</v>
      </c>
      <c r="H73" s="46" t="s">
        <v>325</v>
      </c>
      <c r="I73" s="47" t="s">
        <v>5</v>
      </c>
    </row>
    <row r="74" spans="1:9">
      <c r="A74" s="48" t="s">
        <v>321</v>
      </c>
      <c r="B74" s="49" t="s">
        <v>322</v>
      </c>
      <c r="C74" s="49" t="s">
        <v>326</v>
      </c>
      <c r="D74" s="49" t="s">
        <v>125</v>
      </c>
      <c r="E74" s="49" t="s">
        <v>327</v>
      </c>
      <c r="F74" s="49" t="s">
        <v>133</v>
      </c>
      <c r="G74" s="49" t="s">
        <v>157</v>
      </c>
      <c r="H74" s="49" t="s">
        <v>328</v>
      </c>
      <c r="I74" s="50" t="s">
        <v>5</v>
      </c>
    </row>
    <row r="75" spans="1:9">
      <c r="A75" s="48" t="s">
        <v>321</v>
      </c>
      <c r="B75" s="49" t="s">
        <v>329</v>
      </c>
      <c r="C75" s="49" t="s">
        <v>330</v>
      </c>
      <c r="D75" s="49" t="s">
        <v>125</v>
      </c>
      <c r="E75" s="49">
        <v>500</v>
      </c>
      <c r="F75" s="49" t="s">
        <v>331</v>
      </c>
      <c r="G75" s="49" t="s">
        <v>139</v>
      </c>
      <c r="H75" s="49" t="s">
        <v>332</v>
      </c>
      <c r="I75" s="50" t="s">
        <v>5</v>
      </c>
    </row>
    <row r="76" spans="1:9">
      <c r="A76" s="48" t="s">
        <v>321</v>
      </c>
      <c r="B76" s="49" t="s">
        <v>329</v>
      </c>
      <c r="C76" s="49" t="s">
        <v>333</v>
      </c>
      <c r="D76" s="49" t="s">
        <v>125</v>
      </c>
      <c r="E76" s="49" t="s">
        <v>334</v>
      </c>
      <c r="F76" s="49" t="s">
        <v>133</v>
      </c>
      <c r="G76" s="49" t="s">
        <v>139</v>
      </c>
      <c r="H76" s="49" t="s">
        <v>335</v>
      </c>
      <c r="I76" s="50" t="s">
        <v>5</v>
      </c>
    </row>
    <row r="77" spans="1:9">
      <c r="A77" s="51" t="s">
        <v>321</v>
      </c>
      <c r="B77" s="52" t="s">
        <v>336</v>
      </c>
      <c r="C77" s="52" t="s">
        <v>255</v>
      </c>
      <c r="D77" s="52" t="s">
        <v>125</v>
      </c>
      <c r="E77" s="52" t="s">
        <v>337</v>
      </c>
      <c r="F77" s="52" t="s">
        <v>133</v>
      </c>
      <c r="G77" s="52" t="s">
        <v>139</v>
      </c>
      <c r="H77" s="52" t="s">
        <v>338</v>
      </c>
      <c r="I77" s="53" t="s">
        <v>5</v>
      </c>
    </row>
    <row r="78" spans="1:9">
      <c r="A78" t="s">
        <v>339</v>
      </c>
      <c r="B78" t="s">
        <v>340</v>
      </c>
      <c r="C78" t="s">
        <v>341</v>
      </c>
      <c r="D78" t="s">
        <v>342</v>
      </c>
      <c r="E78" t="s">
        <v>343</v>
      </c>
      <c r="F78" t="s">
        <v>133</v>
      </c>
    </row>
    <row r="79" spans="1:9">
      <c r="A79" t="s">
        <v>339</v>
      </c>
      <c r="B79" t="s">
        <v>340</v>
      </c>
      <c r="C79" t="s">
        <v>341</v>
      </c>
      <c r="D79" s="74" t="s">
        <v>344</v>
      </c>
      <c r="E79" s="74" t="s">
        <v>345</v>
      </c>
      <c r="F79" s="3"/>
      <c r="G79" s="3"/>
      <c r="H79" s="3"/>
      <c r="I79" s="3"/>
    </row>
  </sheetData>
  <hyperlinks>
    <hyperlink ref="H31" r:id="rId1" display="https://cccengineering.com.au/design-memos/fire-hydrant-hose-reel-requirements/" xr:uid="{318852CE-12E8-4F1C-A56B-3BCB0DAB420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314E6-E56A-4F09-8784-AC37D846945E}"/>
</file>

<file path=customXml/itemProps2.xml><?xml version="1.0" encoding="utf-8"?>
<ds:datastoreItem xmlns:ds="http://schemas.openxmlformats.org/officeDocument/2006/customXml" ds:itemID="{CA7453DC-FA4C-4F01-8A9A-261F5691678A}"/>
</file>

<file path=customXml/itemProps3.xml><?xml version="1.0" encoding="utf-8"?>
<ds:datastoreItem xmlns:ds="http://schemas.openxmlformats.org/officeDocument/2006/customXml" ds:itemID="{A8193672-E481-45D2-9A2E-E1AAE3D7F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2026-07-06T00:21:05Z</dcterms:created>
  <dcterms:modified xsi:type="dcterms:W3CDTF">2026-07-07T05:29:55Z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