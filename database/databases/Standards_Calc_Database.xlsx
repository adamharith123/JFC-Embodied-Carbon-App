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_ru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t="inlineStr">
        <is>
          <t>system</t>
        </is>
      </c>
      <c r="B1" t="inlineStr">
        <is>
          <t>component</t>
        </is>
      </c>
      <c r="C1" t="inlineStr">
        <is>
          <t>parameter</t>
        </is>
      </c>
      <c r="D1" t="inlineStr">
        <is>
          <t>condition_key</t>
        </is>
      </c>
      <c r="E1" t="inlineStr">
        <is>
          <t>condition_value</t>
        </is>
      </c>
      <c r="F1" t="inlineStr">
        <is>
          <t>value</t>
        </is>
      </c>
      <c r="G1" t="inlineStr">
        <is>
          <t>unit</t>
        </is>
      </c>
      <c r="H1" t="inlineStr">
        <is>
          <t>notes</t>
        </is>
      </c>
    </row>
    <row r="2">
      <c r="A2" t="inlineStr">
        <is>
          <t>sprinkler</t>
        </is>
      </c>
      <c r="B2" t="inlineStr">
        <is>
          <t>sprinkler_head</t>
        </is>
      </c>
      <c r="C2" t="inlineStr">
        <is>
          <t>spacing_area</t>
        </is>
      </c>
      <c r="D2" t="inlineStr">
        <is>
          <t>hazard_class</t>
        </is>
      </c>
      <c r="E2" t="inlineStr">
        <is>
          <t>Light Hazard</t>
        </is>
      </c>
      <c r="F2" t="n">
        <v>21</v>
      </c>
      <c r="G2" t="inlineStr">
        <is>
          <t>m2/head</t>
        </is>
      </c>
      <c r="H2" t="inlineStr">
        <is>
          <t>AS 2118.1 hazard-based spacing</t>
        </is>
      </c>
    </row>
    <row r="3">
      <c r="A3" t="inlineStr">
        <is>
          <t>sprinkler</t>
        </is>
      </c>
      <c r="B3" t="inlineStr">
        <is>
          <t>sprinkler_head</t>
        </is>
      </c>
      <c r="C3" t="inlineStr">
        <is>
          <t>spacing_area</t>
        </is>
      </c>
      <c r="D3" t="inlineStr">
        <is>
          <t>hazard_class</t>
        </is>
      </c>
      <c r="E3" t="inlineStr">
        <is>
          <t>Ordinary Hazard</t>
        </is>
      </c>
      <c r="F3" t="n">
        <v>12</v>
      </c>
      <c r="G3" t="inlineStr">
        <is>
          <t>m2/head</t>
        </is>
      </c>
      <c r="H3" t="inlineStr">
        <is>
          <t>AS 2118.1 hazard-based spacing</t>
        </is>
      </c>
    </row>
    <row r="4">
      <c r="A4" t="inlineStr">
        <is>
          <t>sprinkler</t>
        </is>
      </c>
      <c r="B4" t="inlineStr">
        <is>
          <t>sprinkler_head</t>
        </is>
      </c>
      <c r="C4" t="inlineStr">
        <is>
          <t>spacing_area</t>
        </is>
      </c>
      <c r="D4" t="inlineStr">
        <is>
          <t>hazard_class</t>
        </is>
      </c>
      <c r="E4" t="inlineStr">
        <is>
          <t>High Hazard</t>
        </is>
      </c>
      <c r="F4" t="n">
        <v>9</v>
      </c>
      <c r="G4" t="inlineStr">
        <is>
          <t>m2/head</t>
        </is>
      </c>
      <c r="H4" t="inlineStr">
        <is>
          <t>AS 2118.1 hazard-based spacing</t>
        </is>
      </c>
    </row>
    <row r="5">
      <c r="A5" t="inlineStr">
        <is>
          <t>sprinkler</t>
        </is>
      </c>
      <c r="B5" t="inlineStr">
        <is>
          <t>sprinkler_head</t>
        </is>
      </c>
      <c r="C5" t="inlineStr">
        <is>
          <t>quantity_formula</t>
        </is>
      </c>
      <c r="D5" t="inlineStr">
        <is>
          <t>default</t>
        </is>
      </c>
      <c r="E5" t="inlineStr">
        <is>
          <t>default</t>
        </is>
      </c>
      <c r="F5">
        <f>ROUNDUP(protected_area / spacing_area, 0)</f>
        <v/>
      </c>
      <c r="G5" t="inlineStr">
        <is>
          <t>formula</t>
        </is>
      </c>
      <c r="H5" t="inlineStr">
        <is>
          <t>Area / spacing, rounded up</t>
        </is>
      </c>
    </row>
    <row r="6">
      <c r="A6" t="inlineStr">
        <is>
          <t>sprinkler</t>
        </is>
      </c>
      <c r="B6" t="inlineStr">
        <is>
          <t>pipework</t>
        </is>
      </c>
      <c r="C6" t="inlineStr">
        <is>
          <t>default_risers</t>
        </is>
      </c>
      <c r="D6" t="inlineStr">
        <is>
          <t>default</t>
        </is>
      </c>
      <c r="E6" t="inlineStr">
        <is>
          <t>default</t>
        </is>
      </c>
      <c r="F6" t="n">
        <v>1</v>
      </c>
      <c r="G6" t="inlineStr">
        <is>
          <t>no.</t>
        </is>
      </c>
      <c r="H6" t="inlineStr">
        <is>
          <t>Fallback only - real Risers input from Project Info takes priority</t>
        </is>
      </c>
    </row>
    <row r="7">
      <c r="A7" t="inlineStr">
        <is>
          <t>sprinkler</t>
        </is>
      </c>
      <c r="B7" t="inlineStr">
        <is>
          <t>pipework</t>
        </is>
      </c>
      <c r="C7" t="inlineStr">
        <is>
          <t>vertical_riser_formula</t>
        </is>
      </c>
      <c r="D7" t="inlineStr">
        <is>
          <t>default</t>
        </is>
      </c>
      <c r="E7" t="inlineStr">
        <is>
          <t>default</t>
        </is>
      </c>
      <c r="F7">
        <f>risers * storeys * floor_to_floor_height</f>
        <v/>
      </c>
      <c r="G7" t="inlineStr">
        <is>
          <t>formula</t>
        </is>
      </c>
      <c r="H7" t="inlineStr">
        <is>
          <t>UNVERIFIED assumption - derived from building geometry, not a cited AS clause. Confirm before relying on it.</t>
        </is>
      </c>
    </row>
    <row r="8">
      <c r="A8" t="inlineStr">
        <is>
          <t>sprinkler</t>
        </is>
      </c>
      <c r="B8" t="inlineStr">
        <is>
          <t>pipework</t>
        </is>
      </c>
      <c r="C8" t="inlineStr">
        <is>
          <t>horizontal_pipe_formula</t>
        </is>
      </c>
      <c r="D8" t="inlineStr">
        <is>
          <t>default</t>
        </is>
      </c>
      <c r="E8" t="inlineStr">
        <is>
          <t>default</t>
        </is>
      </c>
      <c r="F8">
        <f>protected_area / SQRT(spacing_area)</f>
        <v/>
      </c>
      <c r="G8" t="inlineStr">
        <is>
          <t>formula</t>
        </is>
      </c>
      <c r="H8" t="inlineStr">
        <is>
          <t>UNVERIFIED assumption - grid-based approximation from sprinkler spacing, not a cited AS clause. Confirm before relying on it.</t>
        </is>
      </c>
    </row>
    <row r="9">
      <c r="A9" t="inlineStr">
        <is>
          <t>hose_reel</t>
        </is>
      </c>
      <c r="B9" t="inlineStr">
        <is>
          <t>hose_reel</t>
        </is>
      </c>
      <c r="C9" t="inlineStr">
        <is>
          <t>effective_area_per_reel</t>
        </is>
      </c>
      <c r="D9" t="inlineStr">
        <is>
          <t>default</t>
        </is>
      </c>
      <c r="E9" t="inlineStr">
        <is>
          <t>default</t>
        </is>
      </c>
      <c r="F9" t="n">
        <v>400</v>
      </c>
      <c r="G9" t="inlineStr">
        <is>
          <t>m2/reel</t>
        </is>
      </c>
      <c r="H9" t="inlineStr">
        <is>
          <t>Coverage-based allowance (see source reference in notes)</t>
        </is>
      </c>
    </row>
    <row r="10">
      <c r="A10" t="inlineStr">
        <is>
          <t>hose_reel</t>
        </is>
      </c>
      <c r="B10" t="inlineStr">
        <is>
          <t>hose_reel</t>
        </is>
      </c>
      <c r="C10" t="inlineStr">
        <is>
          <t>quantity_formula</t>
        </is>
      </c>
      <c r="D10" t="inlineStr">
        <is>
          <t>default</t>
        </is>
      </c>
      <c r="E10" t="inlineStr">
        <is>
          <t>default</t>
        </is>
      </c>
      <c r="F10">
        <f>storeys * MAX(1, ROUNDUP(area_per_storey / effective_area_per_reel, 0))</f>
        <v/>
      </c>
      <c r="G10" t="inlineStr">
        <is>
          <t>formula</t>
        </is>
      </c>
      <c r="H10" t="inlineStr">
        <is>
          <t>Per-storey coverage allowance</t>
        </is>
      </c>
    </row>
    <row r="11">
      <c r="A11" t="inlineStr">
        <is>
          <t>hose_reel</t>
        </is>
      </c>
      <c r="B11" t="inlineStr">
        <is>
          <t>cabinet</t>
        </is>
      </c>
      <c r="C11" t="inlineStr">
        <is>
          <t>cabinet_quantity_formula</t>
        </is>
      </c>
      <c r="D11" t="inlineStr">
        <is>
          <t>default</t>
        </is>
      </c>
      <c r="E11" t="inlineStr">
        <is>
          <t>default</t>
        </is>
      </c>
      <c r="F11">
        <f>hose_reel_count</f>
        <v/>
      </c>
      <c r="G11" t="inlineStr">
        <is>
          <t>formula</t>
        </is>
      </c>
      <c r="H11" t="inlineStr">
        <is>
          <t>Definitional: cabinets always equal hose reel count</t>
        </is>
      </c>
    </row>
    <row r="12">
      <c r="A12" t="inlineStr">
        <is>
          <t>detection</t>
        </is>
      </c>
      <c r="B12" t="inlineStr">
        <is>
          <t>smoke_detector</t>
        </is>
      </c>
      <c r="C12" t="inlineStr">
        <is>
          <t>coverage_area</t>
        </is>
      </c>
      <c r="D12" t="inlineStr">
        <is>
          <t>default</t>
        </is>
      </c>
      <c r="E12" t="inlineStr">
        <is>
          <t>default</t>
        </is>
      </c>
      <c r="F12" t="n">
        <v>104.04</v>
      </c>
      <c r="G12" t="inlineStr">
        <is>
          <t>m2/detector</t>
        </is>
      </c>
      <c r="H12" t="inlineStr">
        <is>
          <t>AS1670.1 10.2m x 10.2m coverage</t>
        </is>
      </c>
    </row>
    <row r="13">
      <c r="A13" t="inlineStr">
        <is>
          <t>detection</t>
        </is>
      </c>
      <c r="B13" t="inlineStr">
        <is>
          <t>heat_detector</t>
        </is>
      </c>
      <c r="C13" t="inlineStr">
        <is>
          <t>coverage_area</t>
        </is>
      </c>
      <c r="D13" t="inlineStr">
        <is>
          <t>default</t>
        </is>
      </c>
      <c r="E13" t="inlineStr">
        <is>
          <t>default</t>
        </is>
      </c>
      <c r="F13" t="n">
        <v>51.84</v>
      </c>
      <c r="G13" t="inlineStr">
        <is>
          <t>m2/detector</t>
        </is>
      </c>
      <c r="H13" t="inlineStr">
        <is>
          <t>AS1670.1 7.2m x 7.2m coverage</t>
        </is>
      </c>
    </row>
    <row r="14">
      <c r="A14" t="inlineStr">
        <is>
          <t>detection</t>
        </is>
      </c>
      <c r="B14" t="inlineStr">
        <is>
          <t>aspirating_detection</t>
        </is>
      </c>
      <c r="C14" t="inlineStr">
        <is>
          <t>coverage_area</t>
        </is>
      </c>
      <c r="D14" t="inlineStr">
        <is>
          <t>default</t>
        </is>
      </c>
      <c r="E14" t="inlineStr">
        <is>
          <t>default</t>
        </is>
      </c>
      <c r="F14" t="n">
        <v>2000</v>
      </c>
      <c r="G14" t="inlineStr">
        <is>
          <t>m2/system</t>
        </is>
      </c>
      <c r="H14" t="inlineStr">
        <is>
          <t>Simplified early-stage allowance - not a specific AS clause</t>
        </is>
      </c>
    </row>
    <row r="15">
      <c r="A15" t="inlineStr">
        <is>
          <t>detection</t>
        </is>
      </c>
      <c r="B15" t="inlineStr">
        <is>
          <t>detection_device</t>
        </is>
      </c>
      <c r="C15" t="inlineStr">
        <is>
          <t>quantity_formula</t>
        </is>
      </c>
      <c r="D15" t="inlineStr">
        <is>
          <t>default</t>
        </is>
      </c>
      <c r="E15" t="inlineStr">
        <is>
          <t>default</t>
        </is>
      </c>
      <c r="F15">
        <f>ROUNDUP(protected_area / coverage_area, 0)</f>
        <v/>
      </c>
      <c r="G15" t="inlineStr">
        <is>
          <t>formula</t>
        </is>
      </c>
      <c r="H15" t="inlineStr">
        <is>
          <t>Area / coverage, rounded up</t>
        </is>
      </c>
    </row>
    <row r="16">
      <c r="A16" t="inlineStr">
        <is>
          <t>detection</t>
        </is>
      </c>
      <c r="B16" t="inlineStr">
        <is>
          <t>fire_indicator_panel</t>
        </is>
      </c>
      <c r="C16" t="inlineStr">
        <is>
          <t>count_formula</t>
        </is>
      </c>
      <c r="D16" t="inlineStr">
        <is>
          <t>default</t>
        </is>
      </c>
      <c r="E16" t="inlineStr">
        <is>
          <t>default</t>
        </is>
      </c>
      <c r="F16">
        <f>IF(detection_selected, 1, 0)</f>
        <v/>
      </c>
      <c r="G16" t="inlineStr">
        <is>
          <t>formula</t>
        </is>
      </c>
      <c r="H16" t="inlineStr">
        <is>
          <t>One panel per detection system</t>
        </is>
      </c>
    </row>
    <row r="17">
      <c r="A17" t="inlineStr">
        <is>
          <t>detection</t>
        </is>
      </c>
      <c r="B17" t="inlineStr">
        <is>
          <t>manual_call_point</t>
        </is>
      </c>
      <c r="C17" t="inlineStr">
        <is>
          <t>count_formula</t>
        </is>
      </c>
      <c r="D17" t="inlineStr">
        <is>
          <t>default</t>
        </is>
      </c>
      <c r="E17" t="inlineStr">
        <is>
          <t>default</t>
        </is>
      </c>
      <c r="F17">
        <f>storeys * MAX(1, exits_per_storey)</f>
        <v/>
      </c>
      <c r="G17" t="inlineStr">
        <is>
          <t>formula</t>
        </is>
      </c>
      <c r="H17" t="inlineStr">
        <is>
          <t>One per exit route per storey</t>
        </is>
      </c>
    </row>
    <row r="18">
      <c r="A18" t="inlineStr">
        <is>
          <t>extinguisher</t>
        </is>
      </c>
      <c r="B18" t="inlineStr">
        <is>
          <t>portable_extinguisher</t>
        </is>
      </c>
      <c r="C18" t="inlineStr">
        <is>
          <t>max_area_class_a_no_suppression</t>
        </is>
      </c>
      <c r="D18" t="inlineStr">
        <is>
          <t>default</t>
        </is>
      </c>
      <c r="E18" t="inlineStr">
        <is>
          <t>default</t>
        </is>
      </c>
      <c r="F18" t="n">
        <v>675</v>
      </c>
      <c r="G18" t="inlineStr">
        <is>
          <t>m2/extinguisher</t>
        </is>
      </c>
      <c r="H18" t="inlineStr">
        <is>
          <t>AS2444 Table 4.1</t>
        </is>
      </c>
    </row>
    <row r="19">
      <c r="A19" t="inlineStr">
        <is>
          <t>extinguisher</t>
        </is>
      </c>
      <c r="B19" t="inlineStr">
        <is>
          <t>portable_extinguisher</t>
        </is>
      </c>
      <c r="C19" t="inlineStr">
        <is>
          <t>max_area_class_a_fixed_suppression</t>
        </is>
      </c>
      <c r="D19" t="inlineStr">
        <is>
          <t>default</t>
        </is>
      </c>
      <c r="E19" t="inlineStr">
        <is>
          <t>default</t>
        </is>
      </c>
      <c r="F19" t="n">
        <v>1000</v>
      </c>
      <c r="G19" t="inlineStr">
        <is>
          <t>m2/extinguisher</t>
        </is>
      </c>
      <c r="H19" t="inlineStr">
        <is>
          <t>AS2444 Table 4.1</t>
        </is>
      </c>
    </row>
    <row r="20">
      <c r="A20" t="inlineStr">
        <is>
          <t>extinguisher</t>
        </is>
      </c>
      <c r="B20" t="inlineStr">
        <is>
          <t>portable_extinguisher</t>
        </is>
      </c>
      <c r="C20" t="inlineStr">
        <is>
          <t>class_a_quantity_formula</t>
        </is>
      </c>
      <c r="D20" t="inlineStr">
        <is>
          <t>default</t>
        </is>
      </c>
      <c r="E20" t="inlineStr">
        <is>
          <t>default</t>
        </is>
      </c>
      <c r="F20">
        <f>storeys * ROUNDUP(floor_area / max_area_class_a, 0)</f>
        <v/>
      </c>
      <c r="G20" t="inlineStr">
        <is>
          <t>formula</t>
        </is>
      </c>
      <c r="H20" t="inlineStr">
        <is>
          <t>AS2444 Table 4.1 area basis applied floor-by-floor</t>
        </is>
      </c>
    </row>
    <row r="21">
      <c r="A21" t="inlineStr">
        <is>
          <t>extinguisher</t>
        </is>
      </c>
      <c r="B21" t="inlineStr">
        <is>
          <t>portable_extinguisher</t>
        </is>
      </c>
      <c r="C21" t="inlineStr">
        <is>
          <t>max_area_class_b</t>
        </is>
      </c>
      <c r="D21" t="inlineStr">
        <is>
          <t>Class B | Light | No fixed suppression</t>
        </is>
      </c>
      <c r="E21" t="inlineStr">
        <is>
          <t>Class B | Light | No fixed suppression</t>
        </is>
      </c>
      <c r="F21" t="n">
        <v>80</v>
      </c>
      <c r="G21" t="inlineStr">
        <is>
          <t>m2/extinguisher</t>
        </is>
      </c>
      <c r="H21" t="inlineStr">
        <is>
          <t>AS2444 Table 4.2</t>
        </is>
      </c>
    </row>
    <row r="22">
      <c r="A22" t="inlineStr">
        <is>
          <t>extinguisher</t>
        </is>
      </c>
      <c r="B22" t="inlineStr">
        <is>
          <t>portable_extinguisher</t>
        </is>
      </c>
      <c r="C22" t="inlineStr">
        <is>
          <t>max_area_class_b</t>
        </is>
      </c>
      <c r="D22" t="inlineStr">
        <is>
          <t>Class B | Light | Fixed suppression</t>
        </is>
      </c>
      <c r="E22" t="inlineStr">
        <is>
          <t>Class B | Light | Fixed suppression</t>
        </is>
      </c>
      <c r="F22" t="n">
        <v>150</v>
      </c>
      <c r="G22" t="inlineStr">
        <is>
          <t>m2/extinguisher</t>
        </is>
      </c>
      <c r="H22" t="inlineStr">
        <is>
          <t>AS2444 Table 4.3</t>
        </is>
      </c>
    </row>
    <row r="23">
      <c r="A23" t="inlineStr">
        <is>
          <t>extinguisher</t>
        </is>
      </c>
      <c r="B23" t="inlineStr">
        <is>
          <t>portable_extinguisher</t>
        </is>
      </c>
      <c r="C23" t="inlineStr">
        <is>
          <t>max_area_class_b</t>
        </is>
      </c>
      <c r="D23" t="inlineStr">
        <is>
          <t>Class B | Ordinary | No fixed suppression</t>
        </is>
      </c>
      <c r="E23" t="inlineStr">
        <is>
          <t>Class B | Ordinary | No fixed suppression</t>
        </is>
      </c>
      <c r="F23" t="n">
        <v>150</v>
      </c>
      <c r="G23" t="inlineStr">
        <is>
          <t>m2/extinguisher</t>
        </is>
      </c>
      <c r="H23" t="inlineStr">
        <is>
          <t>AS2444 Table 4.2</t>
        </is>
      </c>
    </row>
    <row r="24">
      <c r="A24" t="inlineStr">
        <is>
          <t>extinguisher</t>
        </is>
      </c>
      <c r="B24" t="inlineStr">
        <is>
          <t>portable_extinguisher</t>
        </is>
      </c>
      <c r="C24" t="inlineStr">
        <is>
          <t>max_area_class_b</t>
        </is>
      </c>
      <c r="D24" t="inlineStr">
        <is>
          <t>Class B | Ordinary | Fixed suppression</t>
        </is>
      </c>
      <c r="E24" t="inlineStr">
        <is>
          <t>Class B | Ordinary | Fixed suppression</t>
        </is>
      </c>
      <c r="F24" t="n">
        <v>300</v>
      </c>
      <c r="G24" t="inlineStr">
        <is>
          <t>m2/extinguisher</t>
        </is>
      </c>
      <c r="H24" t="inlineStr">
        <is>
          <t>AS2444 Table 4.3</t>
        </is>
      </c>
    </row>
    <row r="25">
      <c r="A25" t="inlineStr">
        <is>
          <t>extinguisher</t>
        </is>
      </c>
      <c r="B25" t="inlineStr">
        <is>
          <t>portable_extinguisher</t>
        </is>
      </c>
      <c r="C25" t="inlineStr">
        <is>
          <t>max_area_class_b</t>
        </is>
      </c>
      <c r="D25" t="inlineStr">
        <is>
          <t>Class B | High | No fixed suppression</t>
        </is>
      </c>
      <c r="E25" t="inlineStr">
        <is>
          <t>Class B | High | No fixed suppression</t>
        </is>
      </c>
      <c r="F25" t="n">
        <v>300</v>
      </c>
      <c r="G25" t="inlineStr">
        <is>
          <t>m2/extinguisher</t>
        </is>
      </c>
      <c r="H25" t="inlineStr">
        <is>
          <t>AS2444 Table 4.2</t>
        </is>
      </c>
    </row>
    <row r="26">
      <c r="A26" t="inlineStr">
        <is>
          <t>extinguisher</t>
        </is>
      </c>
      <c r="B26" t="inlineStr">
        <is>
          <t>portable_extinguisher</t>
        </is>
      </c>
      <c r="C26" t="inlineStr">
        <is>
          <t>max_area_class_b</t>
        </is>
      </c>
      <c r="D26" t="inlineStr">
        <is>
          <t>Class B | High | Fixed suppression</t>
        </is>
      </c>
      <c r="E26" t="inlineStr">
        <is>
          <t>Class B | High | Fixed suppression</t>
        </is>
      </c>
      <c r="F26" t="n">
        <v>300</v>
      </c>
      <c r="G26" t="inlineStr">
        <is>
          <t>m2/extinguisher</t>
        </is>
      </c>
      <c r="H26" t="inlineStr">
        <is>
          <t>AS2444 Table 4.3</t>
        </is>
      </c>
    </row>
    <row r="27">
      <c r="A27" t="inlineStr">
        <is>
          <t>extinguisher</t>
        </is>
      </c>
      <c r="B27" t="inlineStr">
        <is>
          <t>portable_extinguisher</t>
        </is>
      </c>
      <c r="C27" t="inlineStr">
        <is>
          <t>class_b_quantity_formula</t>
        </is>
      </c>
      <c r="D27" t="inlineStr">
        <is>
          <t>default</t>
        </is>
      </c>
      <c r="E27" t="inlineStr">
        <is>
          <t>default</t>
        </is>
      </c>
      <c r="F27">
        <f>ROUNDUP(risk_area / max_area_class_b, 0)</f>
        <v/>
      </c>
      <c r="G27" t="inlineStr">
        <is>
          <t>formula</t>
        </is>
      </c>
      <c r="H27" t="inlineStr">
        <is>
          <t>AS2444 Table 4.2/4.3 area basis - NOT YET WIRED into UI (needs Hazard + Fixed Suppression inputs)</t>
        </is>
      </c>
    </row>
    <row r="28">
      <c r="A28" t="inlineStr">
        <is>
          <t>hydrant</t>
        </is>
      </c>
      <c r="B28" t="inlineStr">
        <is>
          <t>hydrant_riser</t>
        </is>
      </c>
      <c r="C28" t="inlineStr">
        <is>
          <t>min_risers</t>
        </is>
      </c>
      <c r="D28" t="inlineStr">
        <is>
          <t>default</t>
        </is>
      </c>
      <c r="E28" t="inlineStr">
        <is>
          <t>default</t>
        </is>
      </c>
      <c r="F28" t="n">
        <v>1</v>
      </c>
      <c r="G28" t="inlineStr">
        <is>
          <t>no.</t>
        </is>
      </c>
      <c r="H28" t="inlineStr">
        <is>
          <t>Minimum riser allowance</t>
        </is>
      </c>
    </row>
    <row r="29">
      <c r="A29" t="inlineStr">
        <is>
          <t>hydrant</t>
        </is>
      </c>
      <c r="B29" t="inlineStr">
        <is>
          <t>hydrant_outlet</t>
        </is>
      </c>
      <c r="C29" t="inlineStr">
        <is>
          <t>outlets_per_riser_per_storey</t>
        </is>
      </c>
      <c r="D29" t="inlineStr">
        <is>
          <t>default</t>
        </is>
      </c>
      <c r="E29" t="inlineStr">
        <is>
          <t>default</t>
        </is>
      </c>
      <c r="F29" t="n">
        <v>1</v>
      </c>
      <c r="G29" t="inlineStr">
        <is>
          <t>no/riser/storey</t>
        </is>
      </c>
      <c r="H29" t="inlineStr">
        <is>
          <t>PROXY - simplified AS2419.1 proxy, not a direct AS quantity rule</t>
        </is>
      </c>
    </row>
    <row r="30">
      <c r="A30" t="inlineStr">
        <is>
          <t>hydrant</t>
        </is>
      </c>
      <c r="B30" t="inlineStr">
        <is>
          <t>hydrant_outlet</t>
        </is>
      </c>
      <c r="C30" t="inlineStr">
        <is>
          <t>quantity_formula</t>
        </is>
      </c>
      <c r="D30" t="inlineStr">
        <is>
          <t>default</t>
        </is>
      </c>
      <c r="E30" t="inlineStr">
        <is>
          <t>default</t>
        </is>
      </c>
      <c r="F30">
        <f>risers * storeys * outlets_per_riser_per_storey</f>
        <v/>
      </c>
      <c r="G30" t="inlineStr">
        <is>
          <t>formula</t>
        </is>
      </c>
      <c r="H30" t="inlineStr">
        <is>
          <t>Riser-per-storey method - PROXY, verify against AS2419.1 layout</t>
        </is>
      </c>
    </row>
    <row r="31">
      <c r="A31" t="inlineStr">
        <is>
          <t>hydrant</t>
        </is>
      </c>
      <c r="B31" t="inlineStr">
        <is>
          <t>booster</t>
        </is>
      </c>
      <c r="C31" t="inlineStr">
        <is>
          <t>booster_count</t>
        </is>
      </c>
      <c r="D31" t="inlineStr">
        <is>
          <t>default</t>
        </is>
      </c>
      <c r="E31" t="inlineStr">
        <is>
          <t>default</t>
        </is>
      </c>
      <c r="F31" t="n">
        <v>1</v>
      </c>
      <c r="G31" t="inlineStr">
        <is>
          <t>no.</t>
        </is>
      </c>
      <c r="H31" t="inlineStr">
        <is>
          <t>Typical hydrant allowance if selected</t>
        </is>
      </c>
    </row>
    <row r="32">
      <c r="A32" t="inlineStr">
        <is>
          <t>emergency_lighting</t>
        </is>
      </c>
      <c r="B32" t="inlineStr">
        <is>
          <t>emergency_luminaire</t>
        </is>
      </c>
      <c r="C32" t="inlineStr">
        <is>
          <t>effective_area_per_luminaire</t>
        </is>
      </c>
      <c r="D32" t="inlineStr">
        <is>
          <t>default</t>
        </is>
      </c>
      <c r="E32" t="inlineStr">
        <is>
          <t>default</t>
        </is>
      </c>
      <c r="F32" t="n">
        <v>100</v>
      </c>
      <c r="G32" t="inlineStr">
        <is>
          <t>m2/luminaire</t>
        </is>
      </c>
      <c r="H32" t="inlineStr">
        <is>
          <t>Density proxy - AS/NZS2293.1 is photometric-based, not m2/luminaire based</t>
        </is>
      </c>
    </row>
    <row r="33">
      <c r="A33" t="inlineStr">
        <is>
          <t>emergency_lighting</t>
        </is>
      </c>
      <c r="B33" t="inlineStr">
        <is>
          <t>emergency_luminaire</t>
        </is>
      </c>
      <c r="C33" t="inlineStr">
        <is>
          <t>quantity_formula</t>
        </is>
      </c>
      <c r="D33" t="inlineStr">
        <is>
          <t>default</t>
        </is>
      </c>
      <c r="E33" t="inlineStr">
        <is>
          <t>default</t>
        </is>
      </c>
      <c r="F33">
        <f>storeys * MAX(1, ROUNDUP((protected_area / storeys) / effective_area_per_luminaire, 0))</f>
        <v/>
      </c>
      <c r="G33" t="inlineStr">
        <is>
          <t>formula</t>
        </is>
      </c>
      <c r="H33" t="inlineStr">
        <is>
          <t>Area-based proxy</t>
        </is>
      </c>
    </row>
    <row r="34">
      <c r="A34" t="inlineStr">
        <is>
          <t>emergency_lighting</t>
        </is>
      </c>
      <c r="B34" t="inlineStr">
        <is>
          <t>stair_luminaire</t>
        </is>
      </c>
      <c r="C34" t="inlineStr">
        <is>
          <t>luminaires_per_stair_per_storey</t>
        </is>
      </c>
      <c r="D34" t="inlineStr">
        <is>
          <t>default</t>
        </is>
      </c>
      <c r="E34" t="inlineStr">
        <is>
          <t>default</t>
        </is>
      </c>
      <c r="F34" t="n">
        <v>1</v>
      </c>
      <c r="G34" t="inlineStr">
        <is>
          <t>no/stair/storey</t>
        </is>
      </c>
      <c r="H34" t="inlineStr">
        <is>
          <t>Simplified stair allowance</t>
        </is>
      </c>
    </row>
    <row r="35">
      <c r="A35" t="inlineStr">
        <is>
          <t>emergency_lighting</t>
        </is>
      </c>
      <c r="B35" t="inlineStr">
        <is>
          <t>stair_luminaire</t>
        </is>
      </c>
      <c r="C35" t="inlineStr">
        <is>
          <t>quantity_formula</t>
        </is>
      </c>
      <c r="D35" t="inlineStr">
        <is>
          <t>default</t>
        </is>
      </c>
      <c r="E35" t="inlineStr">
        <is>
          <t>default</t>
        </is>
      </c>
      <c r="F35">
        <f>stairs * storeys * luminaires_per_stair_per_storey</f>
        <v/>
      </c>
      <c r="G35" t="inlineStr">
        <is>
          <t>formula</t>
        </is>
      </c>
      <c r="H35" t="inlineStr">
        <is>
          <t>Stair lighting allowance</t>
        </is>
      </c>
    </row>
    <row r="36">
      <c r="A36" t="inlineStr">
        <is>
          <t>emergency_lighting</t>
        </is>
      </c>
      <c r="B36" t="inlineStr">
        <is>
          <t>emergency_luminaire</t>
        </is>
      </c>
      <c r="C36" t="inlineStr">
        <is>
          <t>egress_corridor_factor</t>
        </is>
      </c>
      <c r="D36" t="inlineStr">
        <is>
          <t>default</t>
        </is>
      </c>
      <c r="E36" t="inlineStr">
        <is>
          <t>default</t>
        </is>
      </c>
      <c r="F36" t="n">
        <v>10</v>
      </c>
      <c r="G36" t="inlineStr">
        <is>
          <t>multiplier</t>
        </is>
      </c>
      <c r="H36" t="inlineStr">
        <is>
          <t>Default egress corridor allowance - user override recommended</t>
        </is>
      </c>
    </row>
    <row r="37">
      <c r="A37" t="inlineStr">
        <is>
          <t>exit_signs</t>
        </is>
      </c>
      <c r="B37" t="inlineStr">
        <is>
          <t>exit_sign</t>
        </is>
      </c>
      <c r="C37" t="inlineStr">
        <is>
          <t>signs_per_exit</t>
        </is>
      </c>
      <c r="D37" t="inlineStr">
        <is>
          <t>default</t>
        </is>
      </c>
      <c r="E37" t="inlineStr">
        <is>
          <t>default</t>
        </is>
      </c>
      <c r="F37" t="n">
        <v>1</v>
      </c>
      <c r="G37" t="inlineStr">
        <is>
          <t>no/exit</t>
        </is>
      </c>
      <c r="H37" t="inlineStr">
        <is>
          <t>Simplified allowance</t>
        </is>
      </c>
    </row>
    <row r="38">
      <c r="A38" t="inlineStr">
        <is>
          <t>exit_signs</t>
        </is>
      </c>
      <c r="B38" t="inlineStr">
        <is>
          <t>exit_sign</t>
        </is>
      </c>
      <c r="C38" t="inlineStr">
        <is>
          <t>quantity_formula</t>
        </is>
      </c>
      <c r="D38" t="inlineStr">
        <is>
          <t>default</t>
        </is>
      </c>
      <c r="E38" t="inlineStr">
        <is>
          <t>default</t>
        </is>
      </c>
      <c r="F38">
        <f>storeys * exits_per_storey * signs_per_exit</f>
        <v/>
      </c>
      <c r="G38" t="inlineStr">
        <is>
          <t>formula</t>
        </is>
      </c>
      <c r="H38" t="inlineStr">
        <is>
          <t>Required-exit based estimate</t>
        </is>
      </c>
    </row>
    <row r="39">
      <c r="A39" t="inlineStr">
        <is>
          <t>exit_signs</t>
        </is>
      </c>
      <c r="B39" t="inlineStr">
        <is>
          <t>directional_sign</t>
        </is>
      </c>
      <c r="C39" t="inlineStr">
        <is>
          <t>area_allowance</t>
        </is>
      </c>
      <c r="D39" t="inlineStr">
        <is>
          <t>default</t>
        </is>
      </c>
      <c r="E39" t="inlineStr">
        <is>
          <t>default</t>
        </is>
      </c>
      <c r="F39" t="n">
        <v>500</v>
      </c>
      <c r="G39" t="inlineStr">
        <is>
          <t>m2/sign</t>
        </is>
      </c>
      <c r="H39" t="inlineStr">
        <is>
          <t>PROXY - wayfinding proxy where path layout is unavailable</t>
        </is>
      </c>
    </row>
    <row r="40">
      <c r="A40" t="inlineStr">
        <is>
          <t>exit_signs</t>
        </is>
      </c>
      <c r="B40" t="inlineStr">
        <is>
          <t>directional_sign</t>
        </is>
      </c>
      <c r="C40" t="inlineStr">
        <is>
          <t>quantity_formula</t>
        </is>
      </c>
      <c r="D40" t="inlineStr">
        <is>
          <t>default</t>
        </is>
      </c>
      <c r="E40" t="inlineStr">
        <is>
          <t>default</t>
        </is>
      </c>
      <c r="F40">
        <f>storeys * ROUNDUP((protected_area / storeys) / area_allowance, 0)</f>
        <v/>
      </c>
      <c r="G40" t="inlineStr">
        <is>
          <t>formula</t>
        </is>
      </c>
      <c r="H40" t="inlineStr">
        <is>
          <t>Area-based proxy - low confidence</t>
        </is>
      </c>
    </row>
    <row r="41">
      <c r="A41" t="inlineStr">
        <is>
          <t>alarm_warning</t>
        </is>
      </c>
      <c r="B41" t="inlineStr">
        <is>
          <t>sounder</t>
        </is>
      </c>
      <c r="C41" t="inlineStr">
        <is>
          <t>coverage_area</t>
        </is>
      </c>
      <c r="D41" t="inlineStr">
        <is>
          <t>default</t>
        </is>
      </c>
      <c r="E41" t="inlineStr">
        <is>
          <t>default</t>
        </is>
      </c>
      <c r="F41" t="n">
        <v>250</v>
      </c>
      <c r="G41" t="inlineStr">
        <is>
          <t>m2/device</t>
        </is>
      </c>
      <c r="H41" t="inlineStr">
        <is>
          <t>PROXY - AS1670.4 is performance-based, no simple m2/device estimator exists</t>
        </is>
      </c>
    </row>
    <row r="42">
      <c r="A42" t="inlineStr">
        <is>
          <t>alarm_warning</t>
        </is>
      </c>
      <c r="B42" t="inlineStr">
        <is>
          <t>speaker</t>
        </is>
      </c>
      <c r="C42" t="inlineStr">
        <is>
          <t>coverage_area</t>
        </is>
      </c>
      <c r="D42" t="inlineStr">
        <is>
          <t>default</t>
        </is>
      </c>
      <c r="E42" t="inlineStr">
        <is>
          <t>default</t>
        </is>
      </c>
      <c r="F42" t="n">
        <v>200</v>
      </c>
      <c r="G42" t="inlineStr">
        <is>
          <t>m2/device</t>
        </is>
      </c>
      <c r="H42" t="inlineStr">
        <is>
          <t>PROXY - actual quantity depends on acoustic design</t>
        </is>
      </c>
    </row>
    <row r="43">
      <c r="A43" t="inlineStr">
        <is>
          <t>alarm_warning</t>
        </is>
      </c>
      <c r="B43" t="inlineStr">
        <is>
          <t>strobe</t>
        </is>
      </c>
      <c r="C43" t="inlineStr">
        <is>
          <t>coverage_area</t>
        </is>
      </c>
      <c r="D43" t="inlineStr">
        <is>
          <t>default</t>
        </is>
      </c>
      <c r="E43" t="inlineStr">
        <is>
          <t>default</t>
        </is>
      </c>
      <c r="F43" t="n">
        <v>250</v>
      </c>
      <c r="G43" t="inlineStr">
        <is>
          <t>m2/device</t>
        </is>
      </c>
      <c r="H43" t="inlineStr">
        <is>
          <t>PROXY - actual requirement depends on occupancy/accessibility</t>
        </is>
      </c>
    </row>
    <row r="44">
      <c r="A44" t="inlineStr">
        <is>
          <t>alarm_warning</t>
        </is>
      </c>
      <c r="B44" t="inlineStr">
        <is>
          <t>warning_device</t>
        </is>
      </c>
      <c r="C44" t="inlineStr">
        <is>
          <t>quantity_formula</t>
        </is>
      </c>
      <c r="D44" t="inlineStr">
        <is>
          <t>default</t>
        </is>
      </c>
      <c r="E44" t="inlineStr">
        <is>
          <t>default</t>
        </is>
      </c>
      <c r="F44">
        <f>ROUNDUP(protected_area / coverage_area, 0)</f>
        <v/>
      </c>
      <c r="G44" t="inlineStr">
        <is>
          <t>formula</t>
        </is>
      </c>
      <c r="H44" t="inlineStr">
        <is>
          <t>Area-based proxy - low confidence, verify against AS1670.4</t>
        </is>
      </c>
    </row>
    <row r="45">
      <c r="A45" t="inlineStr">
        <is>
          <t>alarm_warning</t>
        </is>
      </c>
      <c r="B45" t="inlineStr">
        <is>
          <t>control_panel</t>
        </is>
      </c>
      <c r="C45" t="inlineStr">
        <is>
          <t>count_formula</t>
        </is>
      </c>
      <c r="D45" t="inlineStr">
        <is>
          <t>default</t>
        </is>
      </c>
      <c r="E45" t="inlineStr">
        <is>
          <t>default</t>
        </is>
      </c>
      <c r="F45">
        <f>IF(alarm_warning_selected, 1, 0)</f>
        <v/>
      </c>
      <c r="G45" t="inlineStr">
        <is>
          <t>formula</t>
        </is>
      </c>
      <c r="H45" t="inlineStr">
        <is>
          <t>One panel per system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2026-07-14T00:12:48Z</dcterms:created>
  <dcterms:modified xmlns:dcterms="http://purl.org/dc/terms/" xmlns:xsi="http://www.w3.org/2001/XMLSchema-instance" xsi:type="dcterms:W3CDTF">2026-07-14T00:12:48Z</dcterms:modified>
</cp:coreProperties>
</file>