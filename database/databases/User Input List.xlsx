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ydneyedu.sharepoint.com/sites/JFCPlacementProgramJune2026-HF-ARU-02/Shared Documents/02_Research_and_References/"/>
    </mc:Choice>
  </mc:AlternateContent>
  <xr:revisionPtr revIDLastSave="0" documentId="8_{65B4C9D5-B724-4F9A-AF7A-D454CDD0A08B}" xr6:coauthVersionLast="47" xr6:coauthVersionMax="47" xr10:uidLastSave="{00000000-0000-0000-0000-000000000000}"/>
  <bookViews>
    <workbookView xWindow="0" yWindow="740" windowWidth="14700" windowHeight="16800" firstSheet="4" activeTab="4" xr2:uid="{00000000-000D-0000-FFFF-FFFF00000000}"/>
  </bookViews>
  <sheets>
    <sheet name="Input" sheetId="1" r:id="rId1"/>
    <sheet name="Database" sheetId="2" r:id="rId2"/>
    <sheet name="csv" sheetId="3" r:id="rId3"/>
    <sheet name="decision_rules" sheetId="4" r:id="rId4"/>
    <sheet name="Track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1" l="1" a="1"/>
  <c r="G5" i="1"/>
  <c r="G60" i="1" a="1"/>
  <c r="G36" i="1"/>
  <c r="G22" i="1"/>
  <c r="G6" i="1"/>
  <c r="G31" i="1"/>
  <c r="G30" i="1"/>
  <c r="G29" i="1"/>
  <c r="G46" i="1"/>
  <c r="G44" i="1"/>
  <c r="G47" i="1" s="1"/>
  <c r="G52" i="1"/>
  <c r="G58" i="1"/>
  <c r="G14" i="1"/>
  <c r="G10" i="1" l="1"/>
  <c r="G9" i="1" s="1"/>
  <c r="G60" i="1"/>
  <c r="G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tc={A4BA4F50-05A7-E44F-8E5F-09920279F1F1}</author>
  </authors>
  <commentList>
    <comment ref="B14" authorId="0" shapeId="0" xr:uid="{A4BA4F50-05A7-E44F-8E5F-09920279F1F1}">
      <text>
        <t>[Threaded comment]
Your version of Excel allows you to read this threaded comment; however, any edits to it will get removed if the file is opened in a newer version of Excel. Learn more: https://go.microsoft.com/fwlink/?linkid=870924
Comment:
    Implemented in code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tc={89942413-366E-4FA4-8BE8-6BD933AAFDEB}</author>
  </authors>
  <commentList>
    <comment ref="E25" authorId="0" shapeId="0" xr:uid="{89942413-366E-4FA4-8BE8-6BD933AAFDEB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more variation for various FRLs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<sst xmlns="http://schemas.openxmlformats.org/spreadsheetml/2006/main" count="1416" uniqueCount="559">
  <si>
    <t>User input</t>
  </si>
  <si>
    <t>Input</t>
  </si>
  <si>
    <t xml:space="preserve">Value </t>
  </si>
  <si>
    <t>Unit</t>
  </si>
  <si>
    <t>Sprinklers</t>
  </si>
  <si>
    <t>Yes</t>
  </si>
  <si>
    <t>Yes / No</t>
  </si>
  <si>
    <t>*Sprinkler pipework allowance is not directly prescribed by AS 2118.1. The tool uses an AS-informed sprinkler spacing basis and applies a project-adjustable routing factor for early-stage pipework estimation.</t>
  </si>
  <si>
    <t>NCC building class</t>
  </si>
  <si>
    <t>Sprinkler protected area, m²</t>
  </si>
  <si>
    <t>default = total protected floor area</t>
  </si>
  <si>
    <t>Floor area per storey, m²</t>
  </si>
  <si>
    <t>m^2</t>
  </si>
  <si>
    <t>Sprinkler hazard classification</t>
  </si>
  <si>
    <t>Light Hazard / Ordinary Hazard / High Hazard / user-defined</t>
  </si>
  <si>
    <t>Sprinkler pipe length, m</t>
  </si>
  <si>
    <t>Number of storeys</t>
  </si>
  <si>
    <t>storeys</t>
  </si>
  <si>
    <t>Sprinkler coverage basis</t>
  </si>
  <si>
    <t>Full</t>
  </si>
  <si>
    <t>Full / user-defined</t>
  </si>
  <si>
    <t xml:space="preserve">= N_risers × N_storeys × floor-to-floor height + k_sprinkler × protected floor area / √(sprinkler spacing area) </t>
  </si>
  <si>
    <t>Effective height, m</t>
  </si>
  <si>
    <t>m</t>
  </si>
  <si>
    <t>Sprinkler head spacing or area per head, m²</t>
  </si>
  <si>
    <t>default from AS assumption, override allowed</t>
  </si>
  <si>
    <t>Floor-to-floor height, m</t>
  </si>
  <si>
    <t>Pipework allowance</t>
  </si>
  <si>
    <t>default factor, override allowed</t>
  </si>
  <si>
    <t>Number of exits per storey</t>
  </si>
  <si>
    <t>Sprinkler head count</t>
  </si>
  <si>
    <t>High Hazard</t>
  </si>
  <si>
    <t>Actual sprinkler head count override</t>
  </si>
  <si>
    <t>optional</t>
  </si>
  <si>
    <t>Hose reels</t>
  </si>
  <si>
    <t>System</t>
  </si>
  <si>
    <t>Hose reel served area, m²</t>
  </si>
  <si>
    <t xml:space="preserve">No / Full </t>
  </si>
  <si>
    <t>Hose reel coverage basis</t>
  </si>
  <si>
    <t>?</t>
  </si>
  <si>
    <t>default AS-based coverage / user-defined</t>
  </si>
  <si>
    <t>Sprinkler head</t>
  </si>
  <si>
    <t>Hydrants</t>
  </si>
  <si>
    <t>default factor / override</t>
  </si>
  <si>
    <t>Hose reel count</t>
  </si>
  <si>
    <t>Extinguishers</t>
  </si>
  <si>
    <t>Hose reel count override</t>
  </si>
  <si>
    <t>Detection system</t>
  </si>
  <si>
    <t>None / Type</t>
  </si>
  <si>
    <t>`</t>
  </si>
  <si>
    <t>pipe length</t>
  </si>
  <si>
    <t>Alarm/warning system</t>
  </si>
  <si>
    <t>1000m</t>
  </si>
  <si>
    <t>Emergency lighting</t>
  </si>
  <si>
    <t>Fire class basis</t>
  </si>
  <si>
    <t>A</t>
  </si>
  <si>
    <t>A / B / C / E / F</t>
  </si>
  <si>
    <t>Exit signs</t>
  </si>
  <si>
    <t>Hazard level</t>
  </si>
  <si>
    <t>Ordinary / high / special risk</t>
  </si>
  <si>
    <t>Extinguisher type</t>
  </si>
  <si>
    <t>ABE powder / CO₂ / foam / wet chemical / water</t>
  </si>
  <si>
    <t>Special risk areas included</t>
  </si>
  <si>
    <t>switch room, kitchen, plant, server room</t>
  </si>
  <si>
    <t>Extinguisher count</t>
  </si>
  <si>
    <t>Extinguisher count override</t>
  </si>
  <si>
    <t>Initial user input</t>
  </si>
  <si>
    <t>Secondary user input</t>
  </si>
  <si>
    <t>Emergency lighting area, m²</t>
  </si>
  <si>
    <t>From Australian Standards</t>
  </si>
  <si>
    <t>Number of exits</t>
  </si>
  <si>
    <t>from general input</t>
  </si>
  <si>
    <t>Output</t>
  </si>
  <si>
    <t>Number of stairs</t>
  </si>
  <si>
    <t>Optional override</t>
  </si>
  <si>
    <t>Egress corridor allowance</t>
  </si>
  <si>
    <t>Luminaire count override</t>
  </si>
  <si>
    <t>Hydrant served levels</t>
  </si>
  <si>
    <t>all levels / selected levels</t>
  </si>
  <si>
    <t>Number of risers</t>
  </si>
  <si>
    <t>default from stairs/storeys, override allowed</t>
  </si>
  <si>
    <t>Hydrant outlet count</t>
  </si>
  <si>
    <t>default estimate, override allowed</t>
  </si>
  <si>
    <t>Booster included</t>
  </si>
  <si>
    <t>Yes / No / unknown</t>
  </si>
  <si>
    <t>Pump/tank included</t>
  </si>
  <si>
    <t>Pipe length override</t>
  </si>
  <si>
    <t>Number of direction changes</t>
  </si>
  <si>
    <t>Exit sign count</t>
  </si>
  <si>
    <t>Exit sign count override</t>
  </si>
  <si>
    <t>Alarm/warning system type</t>
  </si>
  <si>
    <t>None / Sounders / Speakers / EWIS / Other</t>
  </si>
  <si>
    <t>Warning system type</t>
  </si>
  <si>
    <t>sounders / speakers / EWIS</t>
  </si>
  <si>
    <t>Warning protected area, m²</t>
  </si>
  <si>
    <t>Device coverage basis</t>
  </si>
  <si>
    <t>default allowance / override</t>
  </si>
  <si>
    <t>Visual alarm devices included</t>
  </si>
  <si>
    <t>Alarm device count override</t>
  </si>
  <si>
    <t>Detection system type</t>
  </si>
  <si>
    <t>None / Smoke / Heat / Smoke + heat / Other</t>
  </si>
  <si>
    <t>Detection protected area, m²</t>
  </si>
  <si>
    <t>Detector type</t>
  </si>
  <si>
    <t>Smoke</t>
  </si>
  <si>
    <t>Smoke / Heat / Aspirating</t>
  </si>
  <si>
    <t>Detector spacing or coverage area</t>
  </si>
  <si>
    <t>default AS-based / override</t>
  </si>
  <si>
    <t>Number of zones</t>
  </si>
  <si>
    <t>default by storey / override</t>
  </si>
  <si>
    <t>Manual call points included</t>
  </si>
  <si>
    <t>Detector count override</t>
  </si>
  <si>
    <t>system</t>
  </si>
  <si>
    <t>component</t>
  </si>
  <si>
    <t>parameter</t>
  </si>
  <si>
    <t>option</t>
  </si>
  <si>
    <t>default_value</t>
  </si>
  <si>
    <t>unit</t>
  </si>
  <si>
    <t>evidence_level</t>
  </si>
  <si>
    <t>source_basis</t>
  </si>
  <si>
    <t>override</t>
  </si>
  <si>
    <t>sprinkler</t>
  </si>
  <si>
    <t>sprinkler_head</t>
  </si>
  <si>
    <t>spacing_area</t>
  </si>
  <si>
    <t>Light Hazard</t>
  </si>
  <si>
    <t>m²/head</t>
  </si>
  <si>
    <t>B</t>
  </si>
  <si>
    <t>AS 2118.1 hazard-based spacing, team-confirmed</t>
  </si>
  <si>
    <t>Ordinary Hazard</t>
  </si>
  <si>
    <t>count_rounding</t>
  </si>
  <si>
    <t>default</t>
  </si>
  <si>
    <t>ROUNDUP</t>
  </si>
  <si>
    <t>method</t>
  </si>
  <si>
    <t>C</t>
  </si>
  <si>
    <t>Derived quantity formula</t>
  </si>
  <si>
    <t>No</t>
  </si>
  <si>
    <t>quantity_formula</t>
  </si>
  <si>
    <t>ROUNDUP(sprinkler_protected_area / spacing_area, 0)</t>
  </si>
  <si>
    <t>formula</t>
  </si>
  <si>
    <t>AS2118.1 hazard-based spacing area converted to sprinkler head count</t>
  </si>
  <si>
    <t>pump</t>
  </si>
  <si>
    <t>pump_count</t>
  </si>
  <si>
    <t>&lt;25m</t>
  </si>
  <si>
    <t>no</t>
  </si>
  <si>
    <t>D</t>
  </si>
  <si>
    <t>Not included in baseline; pump requirement depends on hydraulic design and available water supply</t>
  </si>
  <si>
    <t>&gt;25m</t>
  </si>
  <si>
    <t>pipework</t>
  </si>
  <si>
    <t>default_risers</t>
  </si>
  <si>
    <t>no.</t>
  </si>
  <si>
    <t>Early-stage assumption</t>
  </si>
  <si>
    <t>pipe_routing_factor</t>
  </si>
  <si>
    <t>low</t>
  </si>
  <si>
    <t>multiplier</t>
  </si>
  <si>
    <t>Layout assumption</t>
  </si>
  <si>
    <t>medium</t>
  </si>
  <si>
    <t>high</t>
  </si>
  <si>
    <t>drop_length_per_head</t>
  </si>
  <si>
    <t>m/head</t>
  </si>
  <si>
    <t>Baseline excludes drops to avoid double-counting</t>
  </si>
  <si>
    <t>vertical_riser_formula</t>
  </si>
  <si>
    <t>risers × storeys × floor_to_floor_height</t>
  </si>
  <si>
    <t>C/D</t>
  </si>
  <si>
    <t>Derived from building geometry</t>
  </si>
  <si>
    <t>horizontal_pipe_formula</t>
  </si>
  <si>
    <t>routing_factor × area / SQRT(spacing_area)</t>
  </si>
  <si>
    <t>Grid-based approximation from sprinkler spacing</t>
  </si>
  <si>
    <t>hydrant</t>
  </si>
  <si>
    <t>hydrant_riser</t>
  </si>
  <si>
    <t>MAX(1, number_of_fire_stairs)</t>
  </si>
  <si>
    <t>Simplified proxy based on internal hydrants commonly being located within or adjacent to fire-isolated exits/fire stairs under AS2419.1 location logic; not a direct AS quantity rule</t>
  </si>
  <si>
    <t>hydrant_outlet</t>
  </si>
  <si>
    <t>MAX(1, number_of_fire_stairs) × number_of_storeys × outlets_per_riser_per_storey</t>
  </si>
  <si>
    <t>Simplified riser-per-storey method using fire stairs as the default riser proxy; actual hydrant layout requires AS2419.1 coverage assessment</t>
  </si>
  <si>
    <t>outlets_per_riser_per_storey</t>
  </si>
  <si>
    <t>no/riser/storey</t>
  </si>
  <si>
    <t>Simplified early-stage assumption for internal hydrant outlets; actual outlet count depends on AS2419.1 coverage and layout</t>
  </si>
  <si>
    <t>booster</t>
  </si>
  <si>
    <t>booster_count</t>
  </si>
  <si>
    <t>IF(hydrants_selected,1,0)</t>
  </si>
  <si>
    <t>Typical hydrant system allowance; final booster arrangement is project-specific</t>
  </si>
  <si>
    <t>&lt;50m</t>
  </si>
  <si>
    <t>&gt;50m</t>
  </si>
  <si>
    <t>hydrant_risers × served_storeys × floor_to_floor_height</t>
  </si>
  <si>
    <t>Geometry-derived vertical hydrant riser allowance</t>
  </si>
  <si>
    <t>horizontal_run_factor</t>
  </si>
  <si>
    <t>Average horizontal run approximated as 0.5 × SQRT(floor_plate_area) where actual routing is unknown</t>
  </si>
  <si>
    <t>hydrant_risers × horizontal_run_factor × SQRT(floor_plate_area)</t>
  </si>
  <si>
    <t>Layout approximation for early-stage pipework estimate from booster/feed to riser zone</t>
  </si>
  <si>
    <t>total_pipe_formula</t>
  </si>
  <si>
    <t>(hydrant_risers × served_storeys × floor_to_floor_height) + (hydrant_risers × horizontal_run_factor × SQRT(floor_plate_area))</t>
  </si>
  <si>
    <t>Vertical riser allowance plus simplified horizontal feed allowance</t>
  </si>
  <si>
    <t>hose_reel</t>
  </si>
  <si>
    <t>hose_length</t>
  </si>
  <si>
    <t>B/C</t>
  </si>
  <si>
    <t>AS2441 system coverage basis - 36 m hose length, verify against AS2441</t>
  </si>
  <si>
    <t>spray_allowance</t>
  </si>
  <si>
    <t>AS2441 system coverage basis - 4 m spray allowance, verify against AS2441</t>
  </si>
  <si>
    <t>effective_reach</t>
  </si>
  <si>
    <t>m path reach</t>
  </si>
  <si>
    <t>AS2441 system coverage basis: 36 m hose + 4 m spray</t>
  </si>
  <si>
    <t>location_basis</t>
  </si>
  <si>
    <t>within 4 m of exit</t>
  </si>
  <si>
    <t>text</t>
  </si>
  <si>
    <t>AS2441 location basis, verify against AS2441</t>
  </si>
  <si>
    <t>min_reels_per_storey</t>
  </si>
  <si>
    <t>no/storey</t>
  </si>
  <si>
    <t>Simplified early-stage allowance where hose reels are selected</t>
  </si>
  <si>
    <t>effective_area_per_reel</t>
  </si>
  <si>
    <t>m^2/reel</t>
  </si>
  <si>
    <t>Estimate from: https://cccengineering.com.au/design-memos/fire-hydrant-hose-reel-requirements/</t>
  </si>
  <si>
    <t>number_of_storeys × MAX(1, ROUNDUP(floor_area_per_storey / effective_area_per_reel, 0))</t>
  </si>
  <si>
    <t>AS2441 40 m system coverage simplified to early-stage area allowance</t>
  </si>
  <si>
    <t>Early-stage assumption unless riser count is known</t>
  </si>
  <si>
    <t>vertical_pipe_formula</t>
  </si>
  <si>
    <t>default_risers × number_of_storeys × floor_to_floor_height</t>
  </si>
  <si>
    <t>Geometry-derived riser allowance</t>
  </si>
  <si>
    <t>Average horizontal run approximated as 0.5 × SQRT(floor_plate_area)</t>
  </si>
  <si>
    <t>hose_reel_count × horizontal_run_factor × SQRT(floor_plate_area)</t>
  </si>
  <si>
    <t>Layout approximation for early-stage pipework estimate</t>
  </si>
  <si>
    <t>(default_risers × number_of_storeys × floor_to_floor_height) + (hose_reel_count × horizontal_run_factor × SQRT(floor_plate_area))</t>
  </si>
  <si>
    <t>Vertical riser allowance plus simplified horizontal distribution allowance</t>
  </si>
  <si>
    <t>nominal_pipe_diameter</t>
  </si>
  <si>
    <t>DN25</t>
  </si>
  <si>
    <t>pipe size</t>
  </si>
  <si>
    <t>AS2441-informed secondary source - hose reel supply pipe minimum DN25, verify against AS2441</t>
  </si>
  <si>
    <t>cabinet</t>
  </si>
  <si>
    <t>cabinet_quantity_formula</t>
  </si>
  <si>
    <t>hose_reel_count</t>
  </si>
  <si>
    <t>Optional cabinet allowance; include only where hose reel cabinets are assumed in carbon database</t>
  </si>
  <si>
    <t>extinguisher</t>
  </si>
  <si>
    <t>portable_extinguisher</t>
  </si>
  <si>
    <t>representative_product</t>
  </si>
  <si>
    <t>Default</t>
  </si>
  <si>
    <t>6 kg powder extinguisher - 34A 233BC</t>
  </si>
  <si>
    <t>type</t>
  </si>
  <si>
    <t>EPD-IES-0019486 product family</t>
  </si>
  <si>
    <t>representative_rating</t>
  </si>
  <si>
    <t>34A 233BC</t>
  </si>
  <si>
    <t>rating</t>
  </si>
  <si>
    <t>EPD-IES-0019486 product identification</t>
  </si>
  <si>
    <t>max_floor_area_per_extinguisher</t>
  </si>
  <si>
    <t>Class A | No fixed suppression | 34A representative product</t>
  </si>
  <si>
    <t>m2/extinguisher</t>
  </si>
  <si>
    <t>AS2444 Table 4.1 - higher rating permitted under Clause 4.1</t>
  </si>
  <si>
    <t>Class A | Fixed suppression | 34A representative product</t>
  </si>
  <si>
    <t>class_A_quantity_formula</t>
  </si>
  <si>
    <t>number_of_storeys × ROUNDUP(floor_area / class_A_max_floor_area_per_extinguisher, 0)</t>
  </si>
  <si>
    <t>AS2444 Table 4.1 area basis applied floor-by-floor</t>
  </si>
  <si>
    <t>Class B | Light | No fixed suppression | 233B representative product</t>
  </si>
  <si>
    <t>AS2444 Table 4.2 - higher rating permitted under Clause 4.1</t>
  </si>
  <si>
    <t>Class B | Light | Fixed suppression | 233B representative product</t>
  </si>
  <si>
    <t>AS2444 Table 4.3 - higher rating permitted under Clause 4.1</t>
  </si>
  <si>
    <t>Class B | Ordinary | No fixed suppression | 233B representative product</t>
  </si>
  <si>
    <t>Class B | Ordinary | Fixed suppression | 233B representative product</t>
  </si>
  <si>
    <t>Class B | High | No fixed suppression | 233B representative product</t>
  </si>
  <si>
    <t>Class B | High | Fixed suppression | 233B representative product</t>
  </si>
  <si>
    <t>class_B_quantity_formula</t>
  </si>
  <si>
    <t>ROUNDUP(class_B_risk_area / class_B_max_floor_area_per_extinguisher, 0)</t>
  </si>
  <si>
    <t>AS2444 Table 4.2 and Table 4.3 area basis</t>
  </si>
  <si>
    <t>total_quantity_formula</t>
  </si>
  <si>
    <t>class_A_extinguisher_quantity + class_B_extinguisher_quantity</t>
  </si>
  <si>
    <t>Simplified estimator aggregation</t>
  </si>
  <si>
    <t>detection</t>
  </si>
  <si>
    <t>smoke_detector</t>
  </si>
  <si>
    <t>coverage_area</t>
  </si>
  <si>
    <t>Smoke detectors</t>
  </si>
  <si>
    <t>m2/detector</t>
  </si>
  <si>
    <t>AS1670.1 detector spacing basis; 10.2 m × 10.2 m coverage area used for simplified estimator</t>
  </si>
  <si>
    <t>heat_detector</t>
  </si>
  <si>
    <t>Heat detectors</t>
  </si>
  <si>
    <t>AS1670.1 detector spacing basis; 7.2 m × 7.2 m coverage area used for simplified estimator</t>
  </si>
  <si>
    <t>aspirating_detection</t>
  </si>
  <si>
    <t>Aspirating detection</t>
  </si>
  <si>
    <t>m2/system</t>
  </si>
  <si>
    <t>Simplified early-stage allowance; aspirating detection layout depends on pipe network design and sampling points</t>
  </si>
  <si>
    <t>detection_device</t>
  </si>
  <si>
    <t>ROUNDUP(detection_protected_area / 104.04, 0)</t>
  </si>
  <si>
    <t>AS1670.1 spacing basis converted to area-based quantity estimate</t>
  </si>
  <si>
    <t>ROUNDUP(detection_protected_area / 51.84, 0)</t>
  </si>
  <si>
    <t>ROUNDUP(detection_protected_area / 2000, 0)</t>
  </si>
  <si>
    <t>Simplified early-stage allowance; actual aspirating detection design requires specialist layout</t>
  </si>
  <si>
    <t>fire_indicator_panel</t>
  </si>
  <si>
    <t>count_formula</t>
  </si>
  <si>
    <t>IF(detection_selected, 1, 0)</t>
  </si>
  <si>
    <t>Typical system-level allowance; most detection systems require a central indicating/control panel</t>
  </si>
  <si>
    <t>manual_call_point</t>
  </si>
  <si>
    <t>number_of_storeys × MAX(1, number_of_exits_per_storey)</t>
  </si>
  <si>
    <t>Simplified allowance based on one manual call point per exit route per storey; actual placement requires AS1670.1 layout assessment</t>
  </si>
  <si>
    <t>alarm_warning</t>
  </si>
  <si>
    <t>sounder</t>
  </si>
  <si>
    <t>Sounders</t>
  </si>
  <si>
    <t>m2/device</t>
  </si>
  <si>
    <t>Simplified audibility proxy; AS1670.4 is performance/design based and does not provide a simple m2/device estimator</t>
  </si>
  <si>
    <t>speaker</t>
  </si>
  <si>
    <t>Speakers / EWIS</t>
  </si>
  <si>
    <t>Simplified speech/warning coverage proxy; actual speaker quantity depends on acoustic design and intelligibility requirements</t>
  </si>
  <si>
    <t>strobe</t>
  </si>
  <si>
    <t>Visual alarm devices</t>
  </si>
  <si>
    <t>Simplified visual alarm proxy; actual requirement depends on occupancy, accessibility and layout</t>
  </si>
  <si>
    <t>warning_device</t>
  </si>
  <si>
    <t>ROUNDUP(warning_protected_area / 250, 0)</t>
  </si>
  <si>
    <t>Area-based proxy for early-stage estimator; actual compliance requires AS1670.4 acoustic performance assessment</t>
  </si>
  <si>
    <t>ROUNDUP(warning_protected_area / 200, 0)</t>
  </si>
  <si>
    <t>Area-based proxy for early-stage estimator; actual compliance requires AS1670.4 acoustic and intelligibility assessment</t>
  </si>
  <si>
    <t>visual_alarm_device</t>
  </si>
  <si>
    <t>Optional area-based proxy where visual alarms are selected</t>
  </si>
  <si>
    <t>control_panel</t>
  </si>
  <si>
    <t>IF(alarm_warning_selected, 1, 0)</t>
  </si>
  <si>
    <t>Typical system-level allowance for alarm/warning control equipment</t>
  </si>
  <si>
    <t>emergency_lighting</t>
  </si>
  <si>
    <t>emergency_luminaire</t>
  </si>
  <si>
    <t>effective_area_per_luminaire</t>
  </si>
  <si>
    <t>m2/luminaire</t>
  </si>
  <si>
    <t>Simplified emergency lighting density proxy; AS/NZS2293.1 is photometric/layout based rather than m2/luminaire based</t>
  </si>
  <si>
    <t>number_of_storeys × MAX(1, ROUNDUP((total_protected_floor_area / number_of_storeys) / effective_area_per_luminaire, 0))</t>
  </si>
  <si>
    <t>Area-based proxy for early-stage estimator; actual compliance requires AS/NZS2293.1 emergency lighting layout and photometric assessment</t>
  </si>
  <si>
    <t>stair_luminaire</t>
  </si>
  <si>
    <t>luminaires_per_stair_per_storey</t>
  </si>
  <si>
    <t>no/stair/storey</t>
  </si>
  <si>
    <t>Simplified allowance for emergency lighting to stairs; actual layout depends on stair geometry and luminaire spacing</t>
  </si>
  <si>
    <t>number_of_stairs × number_of_storeys × luminaires_per_stair_per_storey</t>
  </si>
  <si>
    <t>Simplified stair lighting allowance for early-stage carbon estimation</t>
  </si>
  <si>
    <t>total_luminaire</t>
  </si>
  <si>
    <t>emergency_luminaire_count + stair_luminaire_count</t>
  </si>
  <si>
    <t>Aggregated early-stage emergency luminaire estimate</t>
  </si>
  <si>
    <t>exit_signs</t>
  </si>
  <si>
    <t>exit_sign</t>
  </si>
  <si>
    <t>signs_per_exit</t>
  </si>
  <si>
    <t>no/exit</t>
  </si>
  <si>
    <t>Simplified allowance based on illuminated exit signage at required exits; actual sign placement requires AS/NZS2293.1 layout assessment</t>
  </si>
  <si>
    <t>exit_sign_quantity_formula</t>
  </si>
  <si>
    <t>number_of_storeys × number_of_exits_per_storey × signs_per_exit</t>
  </si>
  <si>
    <t>Required-exit based estimate; actual compliance requires exit path and sign visibility assessment under AS/NZS2293.1</t>
  </si>
  <si>
    <t>directional_sign</t>
  </si>
  <si>
    <t>directional_sign_area_allowance</t>
  </si>
  <si>
    <t>m2/directional sign</t>
  </si>
  <si>
    <t>Simplified wayfinding proxy where exit path direction changes are unknown</t>
  </si>
  <si>
    <t>directional_sign_quantity_formula</t>
  </si>
  <si>
    <t>number_of_storeys × ROUNDUP((total_protected_floor_area / number_of_storeys) / directional_sign_area_allowance, 0)</t>
  </si>
  <si>
    <t>Area-based proxy for directional signs where detailed egress path layout is unavailable</t>
  </si>
  <si>
    <t>total_exit_sign</t>
  </si>
  <si>
    <t>exit_sign_count + directional_sign_count</t>
  </si>
  <si>
    <t>Aggregated early-stage exit signage estimate</t>
  </si>
  <si>
    <t>Exhaust systems</t>
  </si>
  <si>
    <t>Smoke_exhaust_fan</t>
  </si>
  <si>
    <t>Fans_per_floor</t>
  </si>
  <si>
    <t>Adjoined by class 2, 3, 9 building</t>
  </si>
  <si>
    <t>number_of_storeys x 3</t>
  </si>
  <si>
    <t>AS 1668.1, section 9.4.2</t>
  </si>
  <si>
    <t>Not adjoined by class 2, 3 or 9</t>
  </si>
  <si>
    <t>number_of_storeys x 2</t>
  </si>
  <si>
    <t>lookup_id</t>
  </si>
  <si>
    <t>condition_type</t>
  </si>
  <si>
    <t>condition_hazard</t>
  </si>
  <si>
    <t>condition_threshold_state</t>
  </si>
  <si>
    <t>condition_selection</t>
  </si>
  <si>
    <t>value</t>
  </si>
  <si>
    <t>override_allowed</t>
  </si>
  <si>
    <t>active</t>
  </si>
  <si>
    <t>notes</t>
  </si>
  <si>
    <t>sprinkler.required_flag.triggered</t>
  </si>
  <si>
    <t>sprinkler_system</t>
  </si>
  <si>
    <t>required_flag</t>
  </si>
  <si>
    <t>system_required</t>
  </si>
  <si>
    <t>triggered</t>
  </si>
  <si>
    <t>boolean</t>
  </si>
  <si>
    <t>NCC sprinkler trigger basis; use decision_rules.csv to test threshold, not to calculate sprinkler head quantity.</t>
  </si>
  <si>
    <t>Used by Python after decision rule evaluates true.</t>
  </si>
  <si>
    <t>sprinkler.required_flag.not_triggered</t>
  </si>
  <si>
    <t>not_triggered</t>
  </si>
  <si>
    <t>Used by Python after decision rule evaluates false.</t>
  </si>
  <si>
    <t>sprinkler.spacing_area.light_hazard</t>
  </si>
  <si>
    <t>hazard_class</t>
  </si>
  <si>
    <t>m2/head</t>
  </si>
  <si>
    <t>AS 2118.1 hazard-based sprinkler spacing; team-confirmed simplified value.</t>
  </si>
  <si>
    <t>Python: ceil(sprinkler_protected_area / spacing_area).</t>
  </si>
  <si>
    <t>sprinkler.spacing_area.ordinary_hazard</t>
  </si>
  <si>
    <t>sprinkler.spacing_area.high_hazard</t>
  </si>
  <si>
    <t>sprinkler.pump_count.above_threshold</t>
  </si>
  <si>
    <t>pump_threshold</t>
  </si>
  <si>
    <t>above_threshold</t>
  </si>
  <si>
    <t>Inactive simplified pump allowance only; pump requirement depends on hydraulic design and available water supply.</t>
  </si>
  <si>
    <t>Kept as future implementation value; not used in current baseline.</t>
  </si>
  <si>
    <t>sprinkler.pump_count.at_or_below_threshold</t>
  </si>
  <si>
    <t>at_or_below_threshold</t>
  </si>
  <si>
    <t>hydrant.required_flag.triggered</t>
  </si>
  <si>
    <t>hydrant_system</t>
  </si>
  <si>
    <t>A/C</t>
  </si>
  <si>
    <t>NCC hydrant trigger basis; use decision_rules.csv to test threshold, not to calculate outlet quantity.</t>
  </si>
  <si>
    <t>Assumes normal fire brigade access context; verify NCC class/exemptions for final design.</t>
  </si>
  <si>
    <t>hydrant.required_flag.not_triggered</t>
  </si>
  <si>
    <t>hydrant.riser.min_risers</t>
  </si>
  <si>
    <t>min_risers</t>
  </si>
  <si>
    <t>Minimum riser allowance used with fire-stair proxy in Python calculation.</t>
  </si>
  <si>
    <t>Python: hydrant_risers = max(min_risers, number_of_fire_stairs).</t>
  </si>
  <si>
    <t>hydrant.outlet.outlets_per_riser_per_storey</t>
  </si>
  <si>
    <t>Simplified early-stage assumption for internal hydrant outlets; actual outlet count depends on AS 2419.1 coverage and layout.</t>
  </si>
  <si>
    <t>Python: outlet_count = risers * storeys * outlets_per_riser_per_storey.</t>
  </si>
  <si>
    <t>hydrant.booster.count_if_selected</t>
  </si>
  <si>
    <t>system_selection</t>
  </si>
  <si>
    <t>selected</t>
  </si>
  <si>
    <t>Typical hydrant system allowance; final booster arrangement is project-specific.</t>
  </si>
  <si>
    <t>Python returns 1 booster if hydrant system is included.</t>
  </si>
  <si>
    <t>hydrant.pump_count.above_threshold</t>
  </si>
  <si>
    <t>hydrant.pump_count.at_or_below_threshold</t>
  </si>
  <si>
    <t>rule_id</t>
  </si>
  <si>
    <t>output_parameter</t>
  </si>
  <si>
    <t>input_variable</t>
  </si>
  <si>
    <t>operator</t>
  </si>
  <si>
    <t>threshold_value</t>
  </si>
  <si>
    <t>threshold_unit</t>
  </si>
  <si>
    <t>true_value</t>
  </si>
  <si>
    <t>false_value</t>
  </si>
  <si>
    <t>value_unit</t>
  </si>
  <si>
    <t>sprinkler.required.effective_height_gt_25m</t>
  </si>
  <si>
    <t>effective_height</t>
  </si>
  <si>
    <t>&gt;</t>
  </si>
  <si>
    <t>NCC 2022 sprinkler trigger: effective height over 25 m; check class-specific exceptions/concessions before final design.</t>
  </si>
  <si>
    <t>Use as system trigger/warning, not as sprinkler head quantity. Quantity still calculated from protected area and spacing area.</t>
  </si>
  <si>
    <t>hydrant.required.total_floor_area_gt_500m2</t>
  </si>
  <si>
    <t>total_protected_floor_area</t>
  </si>
  <si>
    <t>m2</t>
  </si>
  <si>
    <t>NCC/AS2419.1 hydrant trigger simplified as building floor area over 500 m2; verify NCC class/exemption details.</t>
  </si>
  <si>
    <t>Use as system trigger/warning. Hydrant outlet quantity still uses simplified riser-per-storey method.</t>
  </si>
  <si>
    <t>sprinkler.pump_count.effective_height_gt_25m</t>
  </si>
  <si>
    <t>Previous simplified pump allowance only. Pump requirement depends on hydraulic design and water supply; not used in current baseline.</t>
  </si>
  <si>
    <t>Inactive because pumps are excluded from the current carbon scope.</t>
  </si>
  <si>
    <t>hydrant.pump_count.effective_height_gt_50m</t>
  </si>
  <si>
    <t>Apparatus</t>
  </si>
  <si>
    <t>Component</t>
  </si>
  <si>
    <t>Note</t>
  </si>
  <si>
    <t>EC source status</t>
  </si>
  <si>
    <t>Formula status</t>
  </si>
  <si>
    <t>Formula</t>
  </si>
  <si>
    <t>GUI status</t>
  </si>
  <si>
    <t>1. Means of detection</t>
  </si>
  <si>
    <t>Automatic smoke detection system</t>
  </si>
  <si>
    <t>Smoke detector</t>
  </si>
  <si>
    <t>Found – generic</t>
  </si>
  <si>
    <t>Draft</t>
  </si>
  <si>
    <t>Not started</t>
  </si>
  <si>
    <t xml:space="preserve">Aspirating smoke detectors </t>
  </si>
  <si>
    <t>Aspirating unit</t>
  </si>
  <si>
    <t>Sampling pipework</t>
  </si>
  <si>
    <t>Sampling points (Do we need this?)</t>
  </si>
  <si>
    <t>Heat detection system</t>
  </si>
  <si>
    <t>Heat detector</t>
  </si>
  <si>
    <t>Manual alarm initiation system</t>
  </si>
  <si>
    <t>Manual call point</t>
  </si>
  <si>
    <t>1 per 30m</t>
  </si>
  <si>
    <t>Fire detection control system</t>
  </si>
  <si>
    <t>Fire indicator panel</t>
  </si>
  <si>
    <t>Found – product-specific</t>
  </si>
  <si>
    <t>1 per building</t>
  </si>
  <si>
    <t>2. Means of warning</t>
  </si>
  <si>
    <t>EWIS / voice alarm system</t>
  </si>
  <si>
    <t>Speakers</t>
  </si>
  <si>
    <t>1 per area?</t>
  </si>
  <si>
    <t>EWIS panel</t>
  </si>
  <si>
    <t>Might be same thing as fire indicator panel</t>
  </si>
  <si>
    <t>Amplifiers</t>
  </si>
  <si>
    <t>Cabling</t>
  </si>
  <si>
    <t>Fire-rated</t>
  </si>
  <si>
    <t>Non-fire-rated</t>
  </si>
  <si>
    <t>Visual warning system</t>
  </si>
  <si>
    <t>Visual alarm device</t>
  </si>
  <si>
    <t>Occupant warning system</t>
  </si>
  <si>
    <t>3. Means of egress</t>
  </si>
  <si>
    <t>Emergency lighting system</t>
  </si>
  <si>
    <t>Emergency luminaire</t>
  </si>
  <si>
    <t>Exit signage system</t>
  </si>
  <si>
    <t>Illuminated exit sign</t>
  </si>
  <si>
    <t>1 per exit</t>
  </si>
  <si>
    <t>Directional exit sign</t>
  </si>
  <si>
    <t>4. Means of first-aid fire-fighting</t>
  </si>
  <si>
    <t>Fire hose reel system</t>
  </si>
  <si>
    <t>Hose reel assembly</t>
  </si>
  <si>
    <t>1 per exits</t>
  </si>
  <si>
    <t>Cabinet</t>
  </si>
  <si>
    <t>1 per hose reel</t>
  </si>
  <si>
    <t>Pipework</t>
  </si>
  <si>
    <t>Portable extinguisher system</t>
  </si>
  <si>
    <t>Portable extinguisher</t>
  </si>
  <si>
    <t>floor_area / protected_area</t>
  </si>
  <si>
    <t>Bracket</t>
  </si>
  <si>
    <t xml:space="preserve">1 per extinguisher </t>
  </si>
  <si>
    <t>5. Means of restricting fire spread / structural protection</t>
  </si>
  <si>
    <t>Fire-rated wall system</t>
  </si>
  <si>
    <t>Wall assembly</t>
  </si>
  <si>
    <t>Plasterboard</t>
  </si>
  <si>
    <t>Material * thickness * area?</t>
  </si>
  <si>
    <t>Speedpanel</t>
  </si>
  <si>
    <t>Masonry</t>
  </si>
  <si>
    <t>Concrete</t>
  </si>
  <si>
    <t>Penetration fire-stopping system</t>
  </si>
  <si>
    <t>Fire batt</t>
  </si>
  <si>
    <t>Manual Input</t>
  </si>
  <si>
    <t>How?</t>
  </si>
  <si>
    <t>Pipe penetration protection system</t>
  </si>
  <si>
    <t>Intumescent collar</t>
  </si>
  <si>
    <t>Intumescent pipe wrap</t>
  </si>
  <si>
    <t>Fire/smoke damper system</t>
  </si>
  <si>
    <t>Fusible-link fire damper</t>
  </si>
  <si>
    <t>Motorised fire/smoke damper</t>
  </si>
  <si>
    <t>Spray-applied fire protection system</t>
  </si>
  <si>
    <t>Vermiculite spray</t>
  </si>
  <si>
    <t>Intumescent coating system</t>
  </si>
  <si>
    <t>Intumescent coating</t>
  </si>
  <si>
    <t>Door system</t>
  </si>
  <si>
    <t>Fire-door</t>
  </si>
  <si>
    <t>1 per door</t>
  </si>
  <si>
    <t xml:space="preserve">Smoke-door </t>
  </si>
  <si>
    <t>Fire-resistant glazing system</t>
  </si>
  <si>
    <t>Fire-resistant glazing assembly</t>
  </si>
  <si>
    <t># * material * area(m2)</t>
  </si>
  <si>
    <t>Fire shutter system</t>
  </si>
  <si>
    <t>Fire shutter assembly</t>
  </si>
  <si>
    <t>Fire curtain system</t>
  </si>
  <si>
    <t>Fire curtain</t>
  </si>
  <si>
    <t>6. Means of suppression</t>
  </si>
  <si>
    <t>Automatic sprinkler system</t>
  </si>
  <si>
    <t>Raindrop</t>
  </si>
  <si>
    <t>Wall-wetting</t>
  </si>
  <si>
    <t>Sprinkler pipework</t>
  </si>
  <si>
    <t>Valve assembly</t>
  </si>
  <si>
    <t>Booster assembly</t>
  </si>
  <si>
    <t>Pump</t>
  </si>
  <si>
    <t>Hydrant system</t>
  </si>
  <si>
    <t>Hydrant outlet</t>
  </si>
  <si>
    <t>Hydrant pipework</t>
  </si>
  <si>
    <t>7. Means of smoke hazard management</t>
  </si>
  <si>
    <t>Smoke exhaust and pressurisation system</t>
  </si>
  <si>
    <t>Smoke exhaust fan</t>
  </si>
  <si>
    <t>Total #</t>
  </si>
  <si>
    <t>Fire-resistant ductwork</t>
  </si>
  <si>
    <t>material * area(m2)</t>
  </si>
  <si>
    <t>Regular sheet-metal ductwork</t>
  </si>
  <si>
    <t>8. Means of fire brigade access and intervention</t>
  </si>
  <si>
    <t>Fire control centre</t>
  </si>
  <si>
    <t>Future extension</t>
  </si>
  <si>
    <t>Fire service lift controls</t>
  </si>
  <si>
    <t>9. Fire safety management</t>
  </si>
  <si>
    <t>Fire safety signage system</t>
  </si>
  <si>
    <t>No-storage sign</t>
  </si>
  <si>
    <t>Aluminium</t>
  </si>
  <si>
    <t>Keep-clear sign</t>
  </si>
  <si>
    <t>Fire-door sign</t>
  </si>
  <si>
    <t>Evacuation diagram system</t>
  </si>
  <si>
    <t>Evacuation diagram</t>
  </si>
  <si>
    <t>Fire equipment identification signage system</t>
  </si>
  <si>
    <t>Fire extinguisher sign</t>
  </si>
  <si>
    <t>Hose reel sign</t>
  </si>
  <si>
    <t>Hydrant sign</t>
  </si>
  <si>
    <t>10. Special hazards</t>
  </si>
  <si>
    <t>Data-centre gaseous suppression system</t>
  </si>
  <si>
    <t>Battery-energy-storage fire protection system</t>
  </si>
  <si>
    <t>Commercial kitchen suppression system</t>
  </si>
  <si>
    <t>Carpark special detection system</t>
  </si>
  <si>
    <t>Atrium fire and smoke-control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</si>
</sst>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Aptos Narrow"/>
      <family val="2"/>
    </font>
    <font>
      <b/>
      <sz val="11"/>
      <color rgb="FF000000"/>
      <name val="Calibri"/>
      <scheme val="minor"/>
    </font>
    <font>
      <sz val="11"/>
      <color rgb="FF242424"/>
      <name val="Aptos Narrow"/>
      <charset val="1"/>
    </font>
    <font>
      <sz val="11"/>
      <color rgb="FF000000"/>
      <name val="Calibri"/>
      <charset val="1"/>
    </font>
    <font>
      <sz val="11"/>
      <color rgb="FFFF0000"/>
      <name val="Calibri"/>
      <scheme val="minor"/>
    </font>
    <font>
      <sz val="11"/>
      <color rgb="FFFF0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5" borderId="1" xfId="0" applyFill="1" applyBorder="1"/>
    <xf numFmtId="0" fontId="0" fillId="3" borderId="0" xfId="0" applyFill="1"/>
    <xf numFmtId="0" fontId="3" fillId="0" borderId="1" xfId="0" applyFont="1" applyBorder="1"/>
    <xf numFmtId="0" fontId="0" fillId="6" borderId="0" xfId="0" applyFill="1"/>
    <xf numFmtId="0" fontId="0" fillId="4" borderId="2" xfId="0" applyFill="1" applyBorder="1"/>
    <xf numFmtId="0" fontId="0" fillId="4" borderId="8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9" xfId="0" applyFill="1" applyBorder="1"/>
    <xf numFmtId="0" fontId="0" fillId="4" borderId="7" xfId="0" applyFill="1" applyBorder="1"/>
    <xf numFmtId="0" fontId="0" fillId="2" borderId="6" xfId="0" applyFill="1" applyBorder="1"/>
    <xf numFmtId="0" fontId="0" fillId="2" borderId="9" xfId="0" applyFill="1" applyBorder="1"/>
    <xf numFmtId="0" fontId="0" fillId="2" borderId="7" xfId="0" applyFill="1" applyBorder="1"/>
    <xf numFmtId="0" fontId="0" fillId="2" borderId="2" xfId="0" applyFill="1" applyBorder="1"/>
    <xf numFmtId="0" fontId="0" fillId="2" borderId="8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6" fillId="2" borderId="4" xfId="0" applyFont="1" applyFill="1" applyBorder="1"/>
    <xf numFmtId="0" fontId="6" fillId="2" borderId="0" xfId="0" applyFont="1" applyFill="1"/>
    <xf numFmtId="0" fontId="6" fillId="2" borderId="5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7" xfId="0" applyFill="1" applyBorder="1"/>
    <xf numFmtId="0" fontId="4" fillId="4" borderId="0" xfId="0" applyFont="1" applyFill="1"/>
    <xf numFmtId="0" fontId="5" fillId="4" borderId="0" xfId="1" applyFill="1" applyBorder="1"/>
    <xf numFmtId="0" fontId="7" fillId="0" borderId="0" xfId="0" applyFont="1"/>
    <xf numFmtId="0" fontId="8" fillId="0" borderId="0" xfId="0" applyFont="1"/>
    <xf numFmtId="0" fontId="0" fillId="0" borderId="12" xfId="0" applyBorder="1"/>
    <xf numFmtId="0" fontId="0" fillId="0" borderId="10" xfId="0" applyBorder="1"/>
    <xf numFmtId="0" fontId="0" fillId="5" borderId="10" xfId="0" applyFill="1" applyBorder="1"/>
    <xf numFmtId="0" fontId="3" fillId="0" borderId="2" xfId="0" applyFont="1" applyBorder="1"/>
    <xf numFmtId="0" fontId="0" fillId="0" borderId="8" xfId="0" applyBorder="1"/>
    <xf numFmtId="0" fontId="3" fillId="0" borderId="3" xfId="0" applyFont="1" applyBorder="1"/>
    <xf numFmtId="0" fontId="0" fillId="0" borderId="4" xfId="0" applyBorder="1"/>
    <xf numFmtId="0" fontId="0" fillId="5" borderId="5" xfId="0" applyFill="1" applyBorder="1"/>
    <xf numFmtId="0" fontId="0" fillId="6" borderId="6" xfId="0" applyFill="1" applyBorder="1"/>
    <xf numFmtId="0" fontId="0" fillId="6" borderId="9" xfId="0" applyFill="1" applyBorder="1"/>
    <xf numFmtId="0" fontId="0" fillId="6" borderId="7" xfId="0" applyFill="1" applyBorder="1"/>
    <xf numFmtId="0" fontId="6" fillId="0" borderId="4" xfId="0" applyFont="1" applyBorder="1"/>
    <xf numFmtId="0" fontId="6" fillId="0" borderId="0" xfId="0" applyFont="1"/>
    <xf numFmtId="0" fontId="6" fillId="0" borderId="5" xfId="0" applyFont="1" applyBorder="1"/>
    <xf numFmtId="0" fontId="0" fillId="7" borderId="6" xfId="0" applyFill="1" applyBorder="1"/>
    <xf numFmtId="0" fontId="0" fillId="7" borderId="9" xfId="0" applyFill="1" applyBorder="1"/>
    <xf numFmtId="0" fontId="0" fillId="7" borderId="7" xfId="0" applyFill="1" applyBorder="1"/>
    <xf numFmtId="0" fontId="6" fillId="4" borderId="0" xfId="0" applyFont="1" applyFill="1"/>
    <xf numFmtId="0" fontId="0" fillId="3" borderId="0" xfId="0" applyFill="1" applyAlignment="1">
      <alignment wrapText="1"/>
    </xf>
    <xf numFmtId="0" fontId="0" fillId="8" borderId="4" xfId="0" applyFill="1" applyBorder="1"/>
    <xf numFmtId="0" fontId="0" fillId="8" borderId="0" xfId="0" applyFill="1"/>
    <xf numFmtId="0" fontId="0" fillId="8" borderId="5" xfId="0" applyFill="1" applyBorder="1"/>
    <xf numFmtId="0" fontId="0" fillId="8" borderId="11" xfId="0" applyFill="1" applyBorder="1"/>
    <xf numFmtId="0" fontId="0" fillId="8" borderId="5" xfId="0" applyFill="1" applyBorder="1" applyAlignment="1">
      <alignment horizontal="center"/>
    </xf>
    <xf numFmtId="0" fontId="7" fillId="8" borderId="4" xfId="0" applyFont="1" applyFill="1" applyBorder="1"/>
    <xf numFmtId="0" fontId="7" fillId="8" borderId="10" xfId="0" applyFont="1" applyFill="1" applyBorder="1"/>
    <xf numFmtId="0" fontId="7" fillId="8" borderId="5" xfId="0" applyFont="1" applyFill="1" applyBorder="1"/>
    <xf numFmtId="0" fontId="0" fillId="8" borderId="1" xfId="0" applyFill="1" applyBorder="1"/>
    <xf numFmtId="0" fontId="0" fillId="8" borderId="10" xfId="0" applyFill="1" applyBorder="1"/>
    <xf numFmtId="0" fontId="1" fillId="2" borderId="4" xfId="0" applyFont="1" applyFill="1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9" borderId="1" xfId="0" applyFill="1" applyBorder="1"/>
    <xf numFmtId="0" fontId="0" fillId="9" borderId="14" xfId="0" applyFill="1" applyBorder="1" applyAlignment="1">
      <alignment horizontal="center" vertical="center"/>
    </xf>
    <xf numFmtId="0" fontId="10" fillId="0" borderId="1" xfId="0" applyFont="1" applyBorder="1"/>
    <xf numFmtId="0" fontId="9" fillId="0" borderId="1" xfId="0" applyFont="1" applyBorder="1"/>
    <xf numFmtId="0" fontId="3" fillId="0" borderId="14" xfId="0" applyFont="1" applyBorder="1"/>
    <xf numFmtId="0" fontId="0" fillId="0" borderId="14" xfId="0" applyBorder="1"/>
    <xf numFmtId="0" fontId="0" fillId="0" borderId="2" xfId="0" applyBorder="1"/>
    <xf numFmtId="0" fontId="0" fillId="9" borderId="12" xfId="0" applyFill="1" applyBorder="1"/>
    <xf numFmtId="0" fontId="10" fillId="9" borderId="1" xfId="0" applyFont="1" applyFill="1" applyBorder="1"/>
    <xf numFmtId="0" fontId="0" fillId="0" borderId="6" xfId="0" applyBorder="1"/>
    <xf numFmtId="0" fontId="6" fillId="0" borderId="14" xfId="0" applyFont="1" applyBorder="1"/>
    <xf numFmtId="0" fontId="11" fillId="0" borderId="1" xfId="0" applyFont="1" applyBorder="1"/>
    <xf numFmtId="0" fontId="0" fillId="0" borderId="11" xfId="0" applyBorder="1"/>
    <xf numFmtId="0" fontId="0" fillId="0" borderId="1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12" fillId="0" borderId="1" xfId="0" applyFont="1" applyBorder="1"/>
    <xf numFmtId="0" fontId="0" fillId="0" borderId="1" xfId="0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3" fillId="0" borderId="0" xfId="0" applyFont="1"/>
  </cellXfs>
  <cellStyles count="2">
    <cellStyle name="Hyperlink" xfId="1" builtinId="8"/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/>
      </font>
      <fill>
        <patternFill patternType="solid"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ssandro Stillone" id="{78A5F461-EFF0-8B4F-9300-EE75E9B5D7A1}" userId="S::asti0726@uni.sydney.edu.au::084ec10a-4d03-4a74-89f8-c26df8648b2a" providerId="AD"/>
  <person displayName="Sangmin Lee" id="{C9670FE3-A690-4031-8756-68A5839B95A7}" userId="S::slee8092@uni.sydney.edu.au::0d3503a9-b347-446a-bb64-5de066f82f5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6-07-13T04:28:40.87" personId="{78A5F461-EFF0-8B4F-9300-EE75E9B5D7A1}" id="{A4BA4F50-05A7-E44F-8E5F-09920279F1F1}">
    <text>Implemented in code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5" dT="2026-07-15T05:00:50.83" personId="{C9670FE3-A690-4031-8756-68A5839B95A7}" id="{89942413-366E-4FA4-8BE8-6BD933AAFDEB}">
    <text>Need more variation for various FRLs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ccengineering.com.au/design-memos/fire-hydrant-hose-reel-requirements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3"/>
  <sheetViews>
    <sheetView zoomScale="132" workbookViewId="0">
      <selection activeCell="B23" sqref="B23"/>
    </sheetView>
  </sheetViews>
  <sheetFormatPr defaultColWidth="8.85546875" defaultRowHeight="15"/>
  <cols>
    <col min="2" max="2" width="27.42578125" bestFit="1" customWidth="1"/>
    <col min="3" max="3" width="15.42578125" bestFit="1" customWidth="1"/>
    <col min="6" max="6" width="40.140625" bestFit="1" customWidth="1"/>
    <col min="7" max="7" width="13.140625" customWidth="1"/>
    <col min="8" max="8" width="54.85546875" bestFit="1" customWidth="1"/>
    <col min="10" max="10" width="26.28515625" customWidth="1"/>
    <col min="11" max="11" width="40.140625" bestFit="1" customWidth="1"/>
    <col min="12" max="12" width="19.85546875" customWidth="1"/>
    <col min="15" max="15" width="12.7109375" bestFit="1" customWidth="1"/>
  </cols>
  <sheetData>
    <row r="2" spans="2:12">
      <c r="B2" t="s">
        <v>0</v>
      </c>
    </row>
    <row r="4" spans="2:12" ht="15.95">
      <c r="B4" s="4" t="s">
        <v>1</v>
      </c>
      <c r="C4" s="4" t="s">
        <v>2</v>
      </c>
      <c r="D4" s="4" t="s">
        <v>3</v>
      </c>
      <c r="F4" s="44" t="s">
        <v>4</v>
      </c>
      <c r="G4" s="45" t="s">
        <v>5</v>
      </c>
      <c r="H4" s="46" t="s">
        <v>6</v>
      </c>
      <c r="J4" t="s">
        <v>7</v>
      </c>
    </row>
    <row r="5" spans="2:12">
      <c r="B5" s="5" t="s">
        <v>8</v>
      </c>
      <c r="C5" s="9">
        <v>5</v>
      </c>
      <c r="D5" s="5"/>
      <c r="F5" s="60" t="s">
        <v>9</v>
      </c>
      <c r="G5" s="61">
        <f>C6</f>
        <v>1000</v>
      </c>
      <c r="H5" s="62" t="s">
        <v>10</v>
      </c>
    </row>
    <row r="6" spans="2:12">
      <c r="B6" s="5" t="s">
        <v>11</v>
      </c>
      <c r="C6" s="9">
        <v>1000</v>
      </c>
      <c r="D6" s="5" t="s">
        <v>12</v>
      </c>
      <c r="F6" s="47" t="s">
        <v>13</v>
      </c>
      <c r="G6" s="7" t="str">
        <f>C11</f>
        <v>High Hazard</v>
      </c>
      <c r="H6" s="28" t="s">
        <v>14</v>
      </c>
      <c r="J6" t="s">
        <v>15</v>
      </c>
    </row>
    <row r="7" spans="2:12">
      <c r="B7" s="5" t="s">
        <v>16</v>
      </c>
      <c r="C7" s="9">
        <v>4</v>
      </c>
      <c r="D7" s="5" t="s">
        <v>17</v>
      </c>
      <c r="F7" s="47" t="s">
        <v>18</v>
      </c>
      <c r="G7" s="10" t="s">
        <v>19</v>
      </c>
      <c r="H7" s="33" t="s">
        <v>20</v>
      </c>
      <c r="J7" t="s">
        <v>21</v>
      </c>
    </row>
    <row r="8" spans="2:12">
      <c r="B8" s="5" t="s">
        <v>22</v>
      </c>
      <c r="C8" s="9">
        <v>20</v>
      </c>
      <c r="D8" s="5" t="s">
        <v>23</v>
      </c>
      <c r="F8" s="60" t="s">
        <v>24</v>
      </c>
      <c r="G8" s="61" cm="1">
        <f t="array" ref="G8">_xlfn.IFS(C11="Light Hazard",21,C11="Ordinary Hazard",12,C11="High Hazard",9,TRUE,"Check hazard input")</f>
        <v>9</v>
      </c>
      <c r="H8" s="62" t="s">
        <v>25</v>
      </c>
    </row>
    <row r="9" spans="2:12">
      <c r="B9" s="5" t="s">
        <v>26</v>
      </c>
      <c r="C9" s="9">
        <v>2</v>
      </c>
      <c r="D9" s="5"/>
      <c r="F9" s="65" t="s">
        <v>27</v>
      </c>
      <c r="G9" s="66">
        <f>ROUND(C7*C9+G10*G5/SQRT(G8),2)</f>
        <v>37008</v>
      </c>
      <c r="H9" s="67" t="s">
        <v>28</v>
      </c>
    </row>
    <row r="10" spans="2:12">
      <c r="B10" s="42" t="s">
        <v>29</v>
      </c>
      <c r="C10" s="43">
        <v>3</v>
      </c>
      <c r="D10" s="5"/>
      <c r="F10" s="60" t="s">
        <v>30</v>
      </c>
      <c r="G10" s="63">
        <f>ROUND(G5/G8,0)</f>
        <v>111</v>
      </c>
      <c r="H10" s="64"/>
    </row>
    <row r="11" spans="2:12" ht="15.95">
      <c r="B11" s="5" t="s">
        <v>13</v>
      </c>
      <c r="C11" s="9" t="s">
        <v>31</v>
      </c>
      <c r="D11" s="41"/>
      <c r="F11" s="49" t="s">
        <v>32</v>
      </c>
      <c r="G11" s="50"/>
      <c r="H11" s="51" t="s">
        <v>33</v>
      </c>
      <c r="I11" s="1"/>
    </row>
    <row r="12" spans="2:12">
      <c r="I12" s="2"/>
    </row>
    <row r="13" spans="2:12">
      <c r="F13" s="44" t="s">
        <v>34</v>
      </c>
      <c r="G13" s="45" t="s">
        <v>5</v>
      </c>
      <c r="H13" s="46" t="s">
        <v>6</v>
      </c>
      <c r="I13" s="2"/>
    </row>
    <row r="14" spans="2:12">
      <c r="B14" s="11" t="s">
        <v>35</v>
      </c>
      <c r="C14" s="11" t="s">
        <v>1</v>
      </c>
      <c r="F14" s="47" t="s">
        <v>36</v>
      </c>
      <c r="G14">
        <f>C6</f>
        <v>1000</v>
      </c>
      <c r="H14" s="48" t="s">
        <v>10</v>
      </c>
      <c r="I14" s="2"/>
    </row>
    <row r="15" spans="2:12">
      <c r="B15" s="5" t="s">
        <v>4</v>
      </c>
      <c r="C15" s="9" t="s">
        <v>37</v>
      </c>
      <c r="F15" s="47" t="s">
        <v>38</v>
      </c>
      <c r="G15" t="s">
        <v>39</v>
      </c>
      <c r="H15" s="33" t="s">
        <v>40</v>
      </c>
      <c r="I15" s="2"/>
      <c r="J15" s="5" t="s">
        <v>41</v>
      </c>
      <c r="K15" s="5"/>
      <c r="L15" s="5"/>
    </row>
    <row r="16" spans="2:12">
      <c r="B16" s="5" t="s">
        <v>42</v>
      </c>
      <c r="C16" s="9" t="s">
        <v>6</v>
      </c>
      <c r="F16" s="52" t="s">
        <v>27</v>
      </c>
      <c r="G16" s="53"/>
      <c r="H16" s="54" t="s">
        <v>43</v>
      </c>
      <c r="J16" s="68" t="s">
        <v>9</v>
      </c>
      <c r="K16" s="68" t="s">
        <v>24</v>
      </c>
      <c r="L16" s="68" t="s">
        <v>30</v>
      </c>
    </row>
    <row r="17" spans="2:12">
      <c r="B17" s="5" t="s">
        <v>34</v>
      </c>
      <c r="C17" s="9" t="s">
        <v>6</v>
      </c>
      <c r="F17" s="16" t="s">
        <v>44</v>
      </c>
      <c r="G17" s="6"/>
      <c r="H17" s="17"/>
      <c r="J17" s="69">
        <v>100</v>
      </c>
      <c r="K17" s="69">
        <v>12</v>
      </c>
      <c r="L17" s="69">
        <v>83</v>
      </c>
    </row>
    <row r="18" spans="2:12">
      <c r="B18" s="5" t="s">
        <v>45</v>
      </c>
      <c r="C18" s="9" t="s">
        <v>6</v>
      </c>
      <c r="F18" s="49" t="s">
        <v>46</v>
      </c>
      <c r="G18" s="50"/>
      <c r="H18" s="51" t="s">
        <v>33</v>
      </c>
      <c r="J18" s="5" t="s">
        <v>15</v>
      </c>
      <c r="K18" s="5"/>
      <c r="L18" s="5"/>
    </row>
    <row r="19" spans="2:12">
      <c r="B19" s="5" t="s">
        <v>47</v>
      </c>
      <c r="C19" s="9" t="s">
        <v>48</v>
      </c>
      <c r="H19" t="s">
        <v>49</v>
      </c>
      <c r="J19" s="68"/>
      <c r="K19" s="68"/>
      <c r="L19" s="68" t="s">
        <v>50</v>
      </c>
    </row>
    <row r="20" spans="2:12">
      <c r="B20" s="5" t="s">
        <v>51</v>
      </c>
      <c r="C20" s="9" t="s">
        <v>48</v>
      </c>
      <c r="F20" s="44" t="s">
        <v>45</v>
      </c>
      <c r="G20" s="45" t="s">
        <v>5</v>
      </c>
      <c r="H20" s="46" t="s">
        <v>6</v>
      </c>
      <c r="J20" s="68"/>
      <c r="K20" s="68"/>
      <c r="L20" s="68" t="s">
        <v>52</v>
      </c>
    </row>
    <row r="21" spans="2:12">
      <c r="B21" s="5" t="s">
        <v>53</v>
      </c>
      <c r="C21" s="9" t="s">
        <v>6</v>
      </c>
      <c r="F21" s="47" t="s">
        <v>54</v>
      </c>
      <c r="G21" t="s">
        <v>55</v>
      </c>
      <c r="H21" s="28" t="s">
        <v>56</v>
      </c>
    </row>
    <row r="22" spans="2:12">
      <c r="B22" s="5" t="s">
        <v>57</v>
      </c>
      <c r="C22" s="9" t="s">
        <v>6</v>
      </c>
      <c r="F22" s="47" t="s">
        <v>58</v>
      </c>
      <c r="G22" t="str">
        <f>C11</f>
        <v>High Hazard</v>
      </c>
      <c r="H22" s="28" t="s">
        <v>59</v>
      </c>
    </row>
    <row r="23" spans="2:12">
      <c r="F23" s="47" t="s">
        <v>60</v>
      </c>
      <c r="H23" s="28" t="s">
        <v>61</v>
      </c>
    </row>
    <row r="24" spans="2:12">
      <c r="F24" s="52" t="s">
        <v>62</v>
      </c>
      <c r="G24" s="53"/>
      <c r="H24" s="54" t="s">
        <v>63</v>
      </c>
    </row>
    <row r="25" spans="2:12">
      <c r="F25" s="16" t="s">
        <v>64</v>
      </c>
      <c r="G25" s="6"/>
      <c r="H25" s="17"/>
    </row>
    <row r="26" spans="2:12">
      <c r="F26" s="55" t="s">
        <v>65</v>
      </c>
      <c r="G26" s="56"/>
      <c r="H26" s="57" t="s">
        <v>33</v>
      </c>
    </row>
    <row r="27" spans="2:12">
      <c r="C27" s="2"/>
      <c r="D27" s="2"/>
    </row>
    <row r="28" spans="2:12">
      <c r="B28" s="8" t="s">
        <v>66</v>
      </c>
      <c r="C28" s="2"/>
      <c r="D28" s="2"/>
      <c r="F28" s="3" t="s">
        <v>53</v>
      </c>
      <c r="G28" s="3" t="s">
        <v>6</v>
      </c>
    </row>
    <row r="29" spans="2:12">
      <c r="B29" s="7" t="s">
        <v>67</v>
      </c>
      <c r="C29" s="2"/>
      <c r="D29" s="2"/>
      <c r="F29" t="s">
        <v>68</v>
      </c>
      <c r="G29">
        <f>C6</f>
        <v>1000</v>
      </c>
      <c r="H29" s="8" t="s">
        <v>10</v>
      </c>
    </row>
    <row r="30" spans="2:12">
      <c r="B30" s="10" t="s">
        <v>69</v>
      </c>
      <c r="F30" t="s">
        <v>70</v>
      </c>
      <c r="G30">
        <f>C10</f>
        <v>3</v>
      </c>
      <c r="H30" s="8" t="s">
        <v>71</v>
      </c>
    </row>
    <row r="31" spans="2:12">
      <c r="B31" s="6" t="s">
        <v>72</v>
      </c>
      <c r="F31" t="s">
        <v>73</v>
      </c>
      <c r="G31" t="e">
        <f>#REF!</f>
        <v>#REF!</v>
      </c>
      <c r="H31" s="8" t="s">
        <v>71</v>
      </c>
    </row>
    <row r="32" spans="2:12">
      <c r="B32" s="12" t="s">
        <v>74</v>
      </c>
      <c r="F32" s="53" t="s">
        <v>75</v>
      </c>
      <c r="G32" s="53"/>
      <c r="H32" s="53" t="s">
        <v>43</v>
      </c>
    </row>
    <row r="33" spans="6:8">
      <c r="F33" t="s">
        <v>76</v>
      </c>
      <c r="H33" s="6" t="s">
        <v>33</v>
      </c>
    </row>
    <row r="35" spans="6:8">
      <c r="F35" s="3" t="s">
        <v>42</v>
      </c>
      <c r="G35" s="3" t="s">
        <v>6</v>
      </c>
    </row>
    <row r="36" spans="6:8">
      <c r="F36" t="s">
        <v>77</v>
      </c>
      <c r="G36">
        <f>C7</f>
        <v>4</v>
      </c>
      <c r="H36" s="8" t="s">
        <v>78</v>
      </c>
    </row>
    <row r="37" spans="6:8">
      <c r="F37" s="53" t="s">
        <v>79</v>
      </c>
      <c r="H37" s="8" t="s">
        <v>80</v>
      </c>
    </row>
    <row r="38" spans="6:8">
      <c r="F38" s="53" t="s">
        <v>81</v>
      </c>
      <c r="H38" s="58" t="s">
        <v>82</v>
      </c>
    </row>
    <row r="39" spans="6:8">
      <c r="F39" s="53" t="s">
        <v>83</v>
      </c>
      <c r="G39" s="53"/>
      <c r="H39" s="53" t="s">
        <v>84</v>
      </c>
    </row>
    <row r="40" spans="6:8">
      <c r="F40" s="53" t="s">
        <v>85</v>
      </c>
      <c r="G40" s="53"/>
      <c r="H40" s="53" t="s">
        <v>84</v>
      </c>
    </row>
    <row r="41" spans="6:8">
      <c r="F41" t="s">
        <v>86</v>
      </c>
      <c r="H41" s="6" t="s">
        <v>33</v>
      </c>
    </row>
    <row r="43" spans="6:8">
      <c r="F43" s="3" t="s">
        <v>57</v>
      </c>
      <c r="G43" s="3" t="s">
        <v>6</v>
      </c>
    </row>
    <row r="44" spans="6:8">
      <c r="F44" t="s">
        <v>70</v>
      </c>
      <c r="G44">
        <f>C10</f>
        <v>3</v>
      </c>
      <c r="H44" s="8" t="s">
        <v>71</v>
      </c>
    </row>
    <row r="45" spans="6:8">
      <c r="F45" s="53" t="s">
        <v>87</v>
      </c>
      <c r="G45" s="53"/>
      <c r="H45" s="53" t="s">
        <v>43</v>
      </c>
    </row>
    <row r="46" spans="6:8">
      <c r="F46" t="s">
        <v>16</v>
      </c>
      <c r="G46">
        <f>C7</f>
        <v>4</v>
      </c>
      <c r="H46" s="8" t="s">
        <v>71</v>
      </c>
    </row>
    <row r="47" spans="6:8">
      <c r="F47" t="s">
        <v>88</v>
      </c>
      <c r="G47">
        <f>G44*G46</f>
        <v>12</v>
      </c>
    </row>
    <row r="48" spans="6:8">
      <c r="F48" t="s">
        <v>89</v>
      </c>
      <c r="H48" s="6" t="s">
        <v>33</v>
      </c>
    </row>
    <row r="50" spans="6:8">
      <c r="F50" s="3" t="s">
        <v>90</v>
      </c>
      <c r="H50" s="3" t="s">
        <v>91</v>
      </c>
    </row>
    <row r="51" spans="6:8">
      <c r="F51" t="s">
        <v>92</v>
      </c>
      <c r="H51" s="7" t="s">
        <v>93</v>
      </c>
    </row>
    <row r="52" spans="6:8">
      <c r="F52" t="s">
        <v>94</v>
      </c>
      <c r="G52">
        <f>C6</f>
        <v>1000</v>
      </c>
      <c r="H52" s="8" t="s">
        <v>10</v>
      </c>
    </row>
    <row r="53" spans="6:8">
      <c r="F53" t="s">
        <v>95</v>
      </c>
      <c r="H53" s="10" t="s">
        <v>96</v>
      </c>
    </row>
    <row r="54" spans="6:8">
      <c r="F54" t="s">
        <v>97</v>
      </c>
      <c r="H54" s="7" t="s">
        <v>6</v>
      </c>
    </row>
    <row r="55" spans="6:8">
      <c r="F55" t="s">
        <v>98</v>
      </c>
      <c r="H55" s="6" t="s">
        <v>33</v>
      </c>
    </row>
    <row r="57" spans="6:8">
      <c r="F57" s="3" t="s">
        <v>99</v>
      </c>
      <c r="H57" s="3" t="s">
        <v>100</v>
      </c>
    </row>
    <row r="58" spans="6:8">
      <c r="F58" t="s">
        <v>101</v>
      </c>
      <c r="G58" s="8">
        <f>C6</f>
        <v>1000</v>
      </c>
      <c r="H58" s="8" t="s">
        <v>10</v>
      </c>
    </row>
    <row r="59" spans="6:8">
      <c r="F59" t="s">
        <v>102</v>
      </c>
      <c r="G59" s="7" t="s">
        <v>103</v>
      </c>
      <c r="H59" s="7" t="s">
        <v>104</v>
      </c>
    </row>
    <row r="60" spans="6:8" ht="16.5" customHeight="1">
      <c r="F60" t="s">
        <v>105</v>
      </c>
      <c r="G60" s="59" cm="1">
        <f t="array" ref="G60">_xlfn.IFS(G59="Smoke",10.2^2,G59="Heat",7.2^2,G59="Aspirating",2000)</f>
        <v>104.03999999999999</v>
      </c>
      <c r="H60" s="10" t="s">
        <v>106</v>
      </c>
    </row>
    <row r="61" spans="6:8">
      <c r="F61" t="s">
        <v>107</v>
      </c>
      <c r="H61" t="s">
        <v>108</v>
      </c>
    </row>
    <row r="62" spans="6:8">
      <c r="F62" t="s">
        <v>109</v>
      </c>
      <c r="H62" t="s">
        <v>6</v>
      </c>
    </row>
    <row r="63" spans="6:8">
      <c r="F63" t="s">
        <v>110</v>
      </c>
      <c r="H63" s="6" t="s">
        <v>33</v>
      </c>
    </row>
  </sheetData>
  <dataValidations count="3">
    <dataValidation type="list" allowBlank="1" showInputMessage="1" showErrorMessage="1" sqref="C11" xr:uid="{9409800A-6F22-4664-B370-EDC7B6FBBBA4}">
      <formula1>"Light Hazard, Ordinary Hazard, High Hazard"</formula1>
    </dataValidation>
    <dataValidation type="list" allowBlank="1" showInputMessage="1" showErrorMessage="1" sqref="G21" xr:uid="{F1F425FB-97BE-4865-B6E0-CA8F9AEC6A51}">
      <formula1>"A, B, C, E, F"</formula1>
    </dataValidation>
    <dataValidation type="list" allowBlank="1" showInputMessage="1" showErrorMessage="1" sqref="G59" xr:uid="{B645B1AD-747E-4580-8727-A16F20AE568B}">
      <formula1>"Smoke, Heat, Aspirating"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E4B0-61A1-4966-972C-015A783A42AC}">
  <dimension ref="A1:I79"/>
  <sheetViews>
    <sheetView topLeftCell="A44" workbookViewId="0">
      <selection activeCell="E72" sqref="E72"/>
    </sheetView>
  </sheetViews>
  <sheetFormatPr defaultColWidth="8.85546875" defaultRowHeight="15"/>
  <cols>
    <col min="1" max="1" width="18.42578125" bestFit="1" customWidth="1"/>
    <col min="2" max="2" width="25.42578125" bestFit="1" customWidth="1"/>
    <col min="3" max="3" width="34.42578125" bestFit="1" customWidth="1"/>
    <col min="4" max="4" width="50.42578125" bestFit="1" customWidth="1"/>
    <col min="5" max="5" width="75" bestFit="1" customWidth="1"/>
    <col min="6" max="6" width="22.85546875" bestFit="1" customWidth="1"/>
    <col min="7" max="7" width="14.28515625" bestFit="1" customWidth="1"/>
    <col min="8" max="8" width="49.140625" bestFit="1" customWidth="1"/>
  </cols>
  <sheetData>
    <row r="1" spans="1:9">
      <c r="A1" s="3" t="s">
        <v>111</v>
      </c>
      <c r="B1" s="3" t="s">
        <v>112</v>
      </c>
      <c r="C1" s="3" t="s">
        <v>113</v>
      </c>
      <c r="D1" s="3" t="s">
        <v>114</v>
      </c>
      <c r="E1" s="3" t="s">
        <v>115</v>
      </c>
      <c r="F1" s="3" t="s">
        <v>116</v>
      </c>
      <c r="G1" s="3" t="s">
        <v>117</v>
      </c>
      <c r="H1" s="3" t="s">
        <v>118</v>
      </c>
      <c r="I1" s="3" t="s">
        <v>119</v>
      </c>
    </row>
    <row r="2" spans="1:9">
      <c r="A2" s="24" t="s">
        <v>120</v>
      </c>
      <c r="B2" s="25" t="s">
        <v>121</v>
      </c>
      <c r="C2" s="25" t="s">
        <v>122</v>
      </c>
      <c r="D2" s="25" t="s">
        <v>123</v>
      </c>
      <c r="E2" s="25">
        <v>21</v>
      </c>
      <c r="F2" s="25" t="s">
        <v>124</v>
      </c>
      <c r="G2" s="25" t="s">
        <v>125</v>
      </c>
      <c r="H2" s="25" t="s">
        <v>126</v>
      </c>
      <c r="I2" s="26" t="s">
        <v>5</v>
      </c>
    </row>
    <row r="3" spans="1:9">
      <c r="A3" s="27" t="s">
        <v>120</v>
      </c>
      <c r="B3" s="7" t="s">
        <v>121</v>
      </c>
      <c r="C3" s="7" t="s">
        <v>122</v>
      </c>
      <c r="D3" s="7" t="s">
        <v>127</v>
      </c>
      <c r="E3" s="7">
        <v>12</v>
      </c>
      <c r="F3" s="7" t="s">
        <v>124</v>
      </c>
      <c r="G3" s="7" t="s">
        <v>125</v>
      </c>
      <c r="H3" s="7" t="s">
        <v>126</v>
      </c>
      <c r="I3" s="28" t="s">
        <v>5</v>
      </c>
    </row>
    <row r="4" spans="1:9">
      <c r="A4" s="27" t="s">
        <v>120</v>
      </c>
      <c r="B4" s="7" t="s">
        <v>121</v>
      </c>
      <c r="C4" s="7" t="s">
        <v>122</v>
      </c>
      <c r="D4" s="7" t="s">
        <v>31</v>
      </c>
      <c r="E4" s="7">
        <v>9</v>
      </c>
      <c r="F4" s="7" t="s">
        <v>124</v>
      </c>
      <c r="G4" s="7" t="s">
        <v>125</v>
      </c>
      <c r="H4" s="7" t="s">
        <v>126</v>
      </c>
      <c r="I4" s="28" t="s">
        <v>5</v>
      </c>
    </row>
    <row r="5" spans="1:9">
      <c r="A5" s="27" t="s">
        <v>120</v>
      </c>
      <c r="B5" s="7" t="s">
        <v>121</v>
      </c>
      <c r="C5" s="7" t="s">
        <v>128</v>
      </c>
      <c r="D5" s="7" t="s">
        <v>129</v>
      </c>
      <c r="E5" s="7" t="s">
        <v>130</v>
      </c>
      <c r="F5" s="7" t="s">
        <v>131</v>
      </c>
      <c r="G5" s="7" t="s">
        <v>132</v>
      </c>
      <c r="H5" s="7" t="s">
        <v>133</v>
      </c>
      <c r="I5" s="28" t="s">
        <v>134</v>
      </c>
    </row>
    <row r="6" spans="1:9">
      <c r="A6" s="27" t="s">
        <v>120</v>
      </c>
      <c r="B6" s="7" t="s">
        <v>121</v>
      </c>
      <c r="C6" s="7" t="s">
        <v>135</v>
      </c>
      <c r="D6" s="7" t="s">
        <v>129</v>
      </c>
      <c r="E6" s="7" t="s">
        <v>136</v>
      </c>
      <c r="F6" s="7" t="s">
        <v>137</v>
      </c>
      <c r="G6" s="7" t="s">
        <v>132</v>
      </c>
      <c r="H6" s="7" t="s">
        <v>138</v>
      </c>
      <c r="I6" s="28" t="s">
        <v>5</v>
      </c>
    </row>
    <row r="7" spans="1:9">
      <c r="A7" s="27" t="s">
        <v>120</v>
      </c>
      <c r="B7" s="30" t="s">
        <v>139</v>
      </c>
      <c r="C7" s="30" t="s">
        <v>140</v>
      </c>
      <c r="D7" s="30" t="s">
        <v>141</v>
      </c>
      <c r="E7" s="30">
        <v>0</v>
      </c>
      <c r="F7" s="30" t="s">
        <v>142</v>
      </c>
      <c r="G7" s="30" t="s">
        <v>143</v>
      </c>
      <c r="H7" s="30" t="s">
        <v>144</v>
      </c>
      <c r="I7" s="31" t="s">
        <v>5</v>
      </c>
    </row>
    <row r="8" spans="1:9">
      <c r="A8" s="27" t="s">
        <v>120</v>
      </c>
      <c r="B8" s="30" t="s">
        <v>139</v>
      </c>
      <c r="C8" s="30" t="s">
        <v>140</v>
      </c>
      <c r="D8" s="30" t="s">
        <v>145</v>
      </c>
      <c r="E8" s="30">
        <v>1</v>
      </c>
      <c r="F8" s="30" t="s">
        <v>142</v>
      </c>
      <c r="G8" s="30" t="s">
        <v>143</v>
      </c>
      <c r="H8" s="30" t="s">
        <v>144</v>
      </c>
      <c r="I8" s="31" t="s">
        <v>5</v>
      </c>
    </row>
    <row r="9" spans="1:9">
      <c r="A9" s="32" t="s">
        <v>120</v>
      </c>
      <c r="B9" s="10" t="s">
        <v>146</v>
      </c>
      <c r="C9" s="10" t="s">
        <v>147</v>
      </c>
      <c r="D9" s="10" t="s">
        <v>129</v>
      </c>
      <c r="E9" s="10">
        <v>1</v>
      </c>
      <c r="F9" s="10" t="s">
        <v>148</v>
      </c>
      <c r="G9" s="10" t="s">
        <v>143</v>
      </c>
      <c r="H9" s="10" t="s">
        <v>149</v>
      </c>
      <c r="I9" s="33" t="s">
        <v>5</v>
      </c>
    </row>
    <row r="10" spans="1:9">
      <c r="A10" s="32" t="s">
        <v>120</v>
      </c>
      <c r="B10" s="10" t="s">
        <v>146</v>
      </c>
      <c r="C10" s="10" t="s">
        <v>150</v>
      </c>
      <c r="D10" s="10" t="s">
        <v>151</v>
      </c>
      <c r="E10" s="10">
        <v>1.1000000000000001</v>
      </c>
      <c r="F10" s="10" t="s">
        <v>152</v>
      </c>
      <c r="G10" s="10" t="s">
        <v>143</v>
      </c>
      <c r="H10" s="10" t="s">
        <v>153</v>
      </c>
      <c r="I10" s="33" t="s">
        <v>5</v>
      </c>
    </row>
    <row r="11" spans="1:9">
      <c r="A11" s="32" t="s">
        <v>120</v>
      </c>
      <c r="B11" s="10" t="s">
        <v>146</v>
      </c>
      <c r="C11" s="10" t="s">
        <v>150</v>
      </c>
      <c r="D11" s="10" t="s">
        <v>154</v>
      </c>
      <c r="E11" s="10">
        <v>1.3</v>
      </c>
      <c r="F11" s="10" t="s">
        <v>152</v>
      </c>
      <c r="G11" s="10" t="s">
        <v>143</v>
      </c>
      <c r="H11" s="10" t="s">
        <v>153</v>
      </c>
      <c r="I11" s="33" t="s">
        <v>5</v>
      </c>
    </row>
    <row r="12" spans="1:9">
      <c r="A12" s="32" t="s">
        <v>120</v>
      </c>
      <c r="B12" s="10" t="s">
        <v>146</v>
      </c>
      <c r="C12" s="10" t="s">
        <v>150</v>
      </c>
      <c r="D12" s="10" t="s">
        <v>155</v>
      </c>
      <c r="E12" s="10">
        <v>1.6</v>
      </c>
      <c r="F12" s="10" t="s">
        <v>152</v>
      </c>
      <c r="G12" s="10" t="s">
        <v>143</v>
      </c>
      <c r="H12" s="10" t="s">
        <v>153</v>
      </c>
      <c r="I12" s="33" t="s">
        <v>5</v>
      </c>
    </row>
    <row r="13" spans="1:9">
      <c r="A13" s="32" t="s">
        <v>120</v>
      </c>
      <c r="B13" s="10" t="s">
        <v>146</v>
      </c>
      <c r="C13" s="10" t="s">
        <v>156</v>
      </c>
      <c r="D13" s="10" t="s">
        <v>129</v>
      </c>
      <c r="E13" s="10">
        <v>0</v>
      </c>
      <c r="F13" s="10" t="s">
        <v>157</v>
      </c>
      <c r="G13" s="10" t="s">
        <v>143</v>
      </c>
      <c r="H13" s="10" t="s">
        <v>158</v>
      </c>
      <c r="I13" s="33" t="s">
        <v>5</v>
      </c>
    </row>
    <row r="14" spans="1:9">
      <c r="A14" s="32" t="s">
        <v>120</v>
      </c>
      <c r="B14" s="10" t="s">
        <v>146</v>
      </c>
      <c r="C14" s="10" t="s">
        <v>159</v>
      </c>
      <c r="D14" s="10" t="s">
        <v>129</v>
      </c>
      <c r="E14" s="10" t="s">
        <v>160</v>
      </c>
      <c r="F14" s="10" t="s">
        <v>137</v>
      </c>
      <c r="G14" s="10" t="s">
        <v>161</v>
      </c>
      <c r="H14" s="10" t="s">
        <v>162</v>
      </c>
      <c r="I14" s="33" t="s">
        <v>5</v>
      </c>
    </row>
    <row r="15" spans="1:9">
      <c r="A15" s="32" t="s">
        <v>120</v>
      </c>
      <c r="B15" s="10" t="s">
        <v>146</v>
      </c>
      <c r="C15" s="10" t="s">
        <v>163</v>
      </c>
      <c r="D15" s="10" t="s">
        <v>129</v>
      </c>
      <c r="E15" s="10" t="s">
        <v>164</v>
      </c>
      <c r="F15" s="10" t="s">
        <v>137</v>
      </c>
      <c r="G15" s="10" t="s">
        <v>161</v>
      </c>
      <c r="H15" s="10" t="s">
        <v>165</v>
      </c>
      <c r="I15" s="33" t="s">
        <v>5</v>
      </c>
    </row>
    <row r="16" spans="1:9">
      <c r="A16" s="13" t="s">
        <v>166</v>
      </c>
      <c r="B16" s="14" t="s">
        <v>167</v>
      </c>
      <c r="C16" s="14" t="s">
        <v>147</v>
      </c>
      <c r="D16" s="14" t="s">
        <v>129</v>
      </c>
      <c r="E16" s="14" t="s">
        <v>168</v>
      </c>
      <c r="F16" s="14" t="s">
        <v>137</v>
      </c>
      <c r="G16" s="14" t="s">
        <v>143</v>
      </c>
      <c r="H16" s="14" t="s">
        <v>169</v>
      </c>
      <c r="I16" s="15" t="s">
        <v>5</v>
      </c>
    </row>
    <row r="17" spans="1:9">
      <c r="A17" s="16" t="s">
        <v>166</v>
      </c>
      <c r="B17" s="6" t="s">
        <v>170</v>
      </c>
      <c r="C17" s="6" t="s">
        <v>135</v>
      </c>
      <c r="D17" s="6" t="s">
        <v>129</v>
      </c>
      <c r="E17" s="6" t="s">
        <v>171</v>
      </c>
      <c r="F17" s="6" t="s">
        <v>137</v>
      </c>
      <c r="G17" s="6" t="s">
        <v>161</v>
      </c>
      <c r="H17" s="6" t="s">
        <v>172</v>
      </c>
      <c r="I17" s="17" t="s">
        <v>5</v>
      </c>
    </row>
    <row r="18" spans="1:9">
      <c r="A18" s="16" t="s">
        <v>166</v>
      </c>
      <c r="B18" s="6" t="s">
        <v>170</v>
      </c>
      <c r="C18" s="6" t="s">
        <v>173</v>
      </c>
      <c r="D18" s="6" t="s">
        <v>129</v>
      </c>
      <c r="E18" s="6">
        <v>1</v>
      </c>
      <c r="F18" s="6" t="s">
        <v>174</v>
      </c>
      <c r="G18" s="6" t="s">
        <v>143</v>
      </c>
      <c r="H18" s="6" t="s">
        <v>175</v>
      </c>
      <c r="I18" s="17" t="s">
        <v>5</v>
      </c>
    </row>
    <row r="19" spans="1:9">
      <c r="A19" s="16" t="s">
        <v>166</v>
      </c>
      <c r="B19" s="6" t="s">
        <v>176</v>
      </c>
      <c r="C19" s="6" t="s">
        <v>177</v>
      </c>
      <c r="D19" s="6" t="s">
        <v>129</v>
      </c>
      <c r="E19" s="6" t="s">
        <v>178</v>
      </c>
      <c r="F19" s="6" t="s">
        <v>142</v>
      </c>
      <c r="G19" s="6" t="s">
        <v>143</v>
      </c>
      <c r="H19" s="6" t="s">
        <v>179</v>
      </c>
      <c r="I19" s="17" t="s">
        <v>5</v>
      </c>
    </row>
    <row r="20" spans="1:9">
      <c r="A20" s="29" t="s">
        <v>166</v>
      </c>
      <c r="B20" s="30" t="s">
        <v>139</v>
      </c>
      <c r="C20" s="30" t="s">
        <v>140</v>
      </c>
      <c r="D20" s="30" t="s">
        <v>180</v>
      </c>
      <c r="E20" s="30">
        <v>0</v>
      </c>
      <c r="F20" s="30" t="s">
        <v>142</v>
      </c>
      <c r="G20" s="30" t="s">
        <v>143</v>
      </c>
      <c r="H20" s="30" t="s">
        <v>144</v>
      </c>
      <c r="I20" s="31" t="s">
        <v>5</v>
      </c>
    </row>
    <row r="21" spans="1:9">
      <c r="A21" s="29" t="s">
        <v>166</v>
      </c>
      <c r="B21" s="30" t="s">
        <v>139</v>
      </c>
      <c r="C21" s="30" t="s">
        <v>140</v>
      </c>
      <c r="D21" s="30" t="s">
        <v>181</v>
      </c>
      <c r="E21" s="30">
        <v>1</v>
      </c>
      <c r="F21" s="30" t="s">
        <v>142</v>
      </c>
      <c r="G21" s="30" t="s">
        <v>143</v>
      </c>
      <c r="H21" s="30" t="s">
        <v>144</v>
      </c>
      <c r="I21" s="31" t="s">
        <v>5</v>
      </c>
    </row>
    <row r="22" spans="1:9">
      <c r="A22" s="32" t="s">
        <v>166</v>
      </c>
      <c r="B22" s="10" t="s">
        <v>146</v>
      </c>
      <c r="C22" s="10" t="s">
        <v>159</v>
      </c>
      <c r="D22" s="10" t="s">
        <v>129</v>
      </c>
      <c r="E22" s="10" t="s">
        <v>182</v>
      </c>
      <c r="F22" s="10" t="s">
        <v>137</v>
      </c>
      <c r="G22" s="10" t="s">
        <v>161</v>
      </c>
      <c r="H22" s="10" t="s">
        <v>183</v>
      </c>
      <c r="I22" s="33" t="s">
        <v>5</v>
      </c>
    </row>
    <row r="23" spans="1:9">
      <c r="A23" s="32" t="s">
        <v>166</v>
      </c>
      <c r="B23" s="10" t="s">
        <v>146</v>
      </c>
      <c r="C23" s="10" t="s">
        <v>184</v>
      </c>
      <c r="D23" s="10" t="s">
        <v>129</v>
      </c>
      <c r="E23" s="10">
        <v>0.5</v>
      </c>
      <c r="F23" s="10" t="s">
        <v>152</v>
      </c>
      <c r="G23" s="10" t="s">
        <v>143</v>
      </c>
      <c r="H23" s="10" t="s">
        <v>185</v>
      </c>
      <c r="I23" s="33" t="s">
        <v>5</v>
      </c>
    </row>
    <row r="24" spans="1:9">
      <c r="A24" s="32" t="s">
        <v>166</v>
      </c>
      <c r="B24" s="10" t="s">
        <v>146</v>
      </c>
      <c r="C24" s="10" t="s">
        <v>163</v>
      </c>
      <c r="D24" s="10" t="s">
        <v>129</v>
      </c>
      <c r="E24" s="10" t="s">
        <v>186</v>
      </c>
      <c r="F24" s="10" t="s">
        <v>137</v>
      </c>
      <c r="G24" s="10" t="s">
        <v>143</v>
      </c>
      <c r="H24" s="10" t="s">
        <v>187</v>
      </c>
      <c r="I24" s="33" t="s">
        <v>5</v>
      </c>
    </row>
    <row r="25" spans="1:9">
      <c r="A25" s="34" t="s">
        <v>166</v>
      </c>
      <c r="B25" s="35" t="s">
        <v>146</v>
      </c>
      <c r="C25" s="35" t="s">
        <v>188</v>
      </c>
      <c r="D25" s="35" t="s">
        <v>129</v>
      </c>
      <c r="E25" s="35" t="s">
        <v>189</v>
      </c>
      <c r="F25" s="35" t="s">
        <v>137</v>
      </c>
      <c r="G25" s="35" t="s">
        <v>161</v>
      </c>
      <c r="H25" s="35" t="s">
        <v>190</v>
      </c>
      <c r="I25" s="36" t="s">
        <v>5</v>
      </c>
    </row>
    <row r="26" spans="1:9">
      <c r="A26" s="27" t="s">
        <v>191</v>
      </c>
      <c r="B26" s="7" t="s">
        <v>191</v>
      </c>
      <c r="C26" s="7" t="s">
        <v>192</v>
      </c>
      <c r="D26" s="7" t="s">
        <v>129</v>
      </c>
      <c r="E26" s="7">
        <v>36</v>
      </c>
      <c r="F26" s="7" t="s">
        <v>23</v>
      </c>
      <c r="G26" s="7" t="s">
        <v>193</v>
      </c>
      <c r="H26" s="7" t="s">
        <v>194</v>
      </c>
      <c r="I26" s="28" t="s">
        <v>5</v>
      </c>
    </row>
    <row r="27" spans="1:9">
      <c r="A27" s="27" t="s">
        <v>191</v>
      </c>
      <c r="B27" s="7" t="s">
        <v>191</v>
      </c>
      <c r="C27" s="7" t="s">
        <v>195</v>
      </c>
      <c r="D27" s="7" t="s">
        <v>129</v>
      </c>
      <c r="E27" s="7">
        <v>4</v>
      </c>
      <c r="F27" s="7" t="s">
        <v>23</v>
      </c>
      <c r="G27" s="7" t="s">
        <v>193</v>
      </c>
      <c r="H27" s="7" t="s">
        <v>196</v>
      </c>
      <c r="I27" s="28" t="s">
        <v>5</v>
      </c>
    </row>
    <row r="28" spans="1:9">
      <c r="A28" s="27" t="s">
        <v>191</v>
      </c>
      <c r="B28" s="7" t="s">
        <v>191</v>
      </c>
      <c r="C28" s="7" t="s">
        <v>197</v>
      </c>
      <c r="D28" s="7" t="s">
        <v>129</v>
      </c>
      <c r="E28" s="7">
        <v>40</v>
      </c>
      <c r="F28" s="7" t="s">
        <v>198</v>
      </c>
      <c r="G28" s="7" t="s">
        <v>193</v>
      </c>
      <c r="H28" s="7" t="s">
        <v>199</v>
      </c>
      <c r="I28" s="28" t="s">
        <v>5</v>
      </c>
    </row>
    <row r="29" spans="1:9">
      <c r="A29" s="27" t="s">
        <v>191</v>
      </c>
      <c r="B29" s="7" t="s">
        <v>191</v>
      </c>
      <c r="C29" s="7" t="s">
        <v>200</v>
      </c>
      <c r="D29" s="7" t="s">
        <v>129</v>
      </c>
      <c r="E29" s="7" t="s">
        <v>201</v>
      </c>
      <c r="F29" s="7" t="s">
        <v>202</v>
      </c>
      <c r="G29" s="7" t="s">
        <v>193</v>
      </c>
      <c r="H29" s="7" t="s">
        <v>203</v>
      </c>
      <c r="I29" s="28" t="s">
        <v>134</v>
      </c>
    </row>
    <row r="30" spans="1:9">
      <c r="A30" s="27" t="s">
        <v>191</v>
      </c>
      <c r="B30" s="7" t="s">
        <v>191</v>
      </c>
      <c r="C30" s="7" t="s">
        <v>204</v>
      </c>
      <c r="D30" s="7" t="s">
        <v>129</v>
      </c>
      <c r="E30" s="7">
        <v>1</v>
      </c>
      <c r="F30" s="7" t="s">
        <v>205</v>
      </c>
      <c r="G30" s="7" t="s">
        <v>143</v>
      </c>
      <c r="H30" s="7" t="s">
        <v>206</v>
      </c>
      <c r="I30" s="28" t="s">
        <v>5</v>
      </c>
    </row>
    <row r="31" spans="1:9">
      <c r="A31" s="16" t="s">
        <v>191</v>
      </c>
      <c r="B31" s="6" t="s">
        <v>191</v>
      </c>
      <c r="C31" s="6" t="s">
        <v>207</v>
      </c>
      <c r="D31" s="6" t="s">
        <v>129</v>
      </c>
      <c r="E31" s="37">
        <v>400</v>
      </c>
      <c r="F31" s="6" t="s">
        <v>208</v>
      </c>
      <c r="G31" s="6" t="s">
        <v>143</v>
      </c>
      <c r="H31" s="38" t="s">
        <v>209</v>
      </c>
      <c r="I31" s="17" t="s">
        <v>5</v>
      </c>
    </row>
    <row r="32" spans="1:9">
      <c r="A32" s="27" t="s">
        <v>191</v>
      </c>
      <c r="B32" s="7" t="s">
        <v>191</v>
      </c>
      <c r="C32" s="7" t="s">
        <v>135</v>
      </c>
      <c r="D32" s="7" t="s">
        <v>129</v>
      </c>
      <c r="E32" s="7" t="s">
        <v>210</v>
      </c>
      <c r="F32" s="7" t="s">
        <v>137</v>
      </c>
      <c r="G32" s="7" t="s">
        <v>161</v>
      </c>
      <c r="H32" s="7" t="s">
        <v>211</v>
      </c>
      <c r="I32" s="28" t="s">
        <v>5</v>
      </c>
    </row>
    <row r="33" spans="1:9">
      <c r="A33" s="32" t="s">
        <v>191</v>
      </c>
      <c r="B33" s="10" t="s">
        <v>146</v>
      </c>
      <c r="C33" s="10" t="s">
        <v>147</v>
      </c>
      <c r="D33" s="10" t="s">
        <v>129</v>
      </c>
      <c r="E33" s="10">
        <v>1</v>
      </c>
      <c r="F33" s="10" t="s">
        <v>142</v>
      </c>
      <c r="G33" s="10" t="s">
        <v>143</v>
      </c>
      <c r="H33" s="10" t="s">
        <v>212</v>
      </c>
      <c r="I33" s="33" t="s">
        <v>5</v>
      </c>
    </row>
    <row r="34" spans="1:9">
      <c r="A34" s="32" t="s">
        <v>191</v>
      </c>
      <c r="B34" s="10" t="s">
        <v>146</v>
      </c>
      <c r="C34" s="10" t="s">
        <v>213</v>
      </c>
      <c r="D34" s="10" t="s">
        <v>129</v>
      </c>
      <c r="E34" s="10" t="s">
        <v>214</v>
      </c>
      <c r="F34" s="10" t="s">
        <v>137</v>
      </c>
      <c r="G34" s="10" t="s">
        <v>161</v>
      </c>
      <c r="H34" s="10" t="s">
        <v>215</v>
      </c>
      <c r="I34" s="33" t="s">
        <v>5</v>
      </c>
    </row>
    <row r="35" spans="1:9">
      <c r="A35" s="32" t="s">
        <v>191</v>
      </c>
      <c r="B35" s="10" t="s">
        <v>146</v>
      </c>
      <c r="C35" s="10" t="s">
        <v>184</v>
      </c>
      <c r="D35" s="10" t="s">
        <v>129</v>
      </c>
      <c r="E35" s="10">
        <v>0.5</v>
      </c>
      <c r="F35" s="10" t="s">
        <v>152</v>
      </c>
      <c r="G35" s="10" t="s">
        <v>143</v>
      </c>
      <c r="H35" s="10" t="s">
        <v>216</v>
      </c>
      <c r="I35" s="33" t="s">
        <v>5</v>
      </c>
    </row>
    <row r="36" spans="1:9">
      <c r="A36" s="32" t="s">
        <v>191</v>
      </c>
      <c r="B36" s="10" t="s">
        <v>146</v>
      </c>
      <c r="C36" s="10" t="s">
        <v>163</v>
      </c>
      <c r="D36" s="10" t="s">
        <v>129</v>
      </c>
      <c r="E36" s="10" t="s">
        <v>217</v>
      </c>
      <c r="F36" s="10" t="s">
        <v>137</v>
      </c>
      <c r="G36" s="10" t="s">
        <v>143</v>
      </c>
      <c r="H36" s="10" t="s">
        <v>218</v>
      </c>
      <c r="I36" s="33" t="s">
        <v>5</v>
      </c>
    </row>
    <row r="37" spans="1:9">
      <c r="A37" s="32" t="s">
        <v>191</v>
      </c>
      <c r="B37" s="10" t="s">
        <v>146</v>
      </c>
      <c r="C37" s="10" t="s">
        <v>188</v>
      </c>
      <c r="D37" s="10" t="s">
        <v>129</v>
      </c>
      <c r="E37" s="10" t="s">
        <v>219</v>
      </c>
      <c r="F37" s="10" t="s">
        <v>137</v>
      </c>
      <c r="G37" s="10" t="s">
        <v>161</v>
      </c>
      <c r="H37" s="10" t="s">
        <v>220</v>
      </c>
      <c r="I37" s="33" t="s">
        <v>5</v>
      </c>
    </row>
    <row r="38" spans="1:9">
      <c r="A38" s="32" t="s">
        <v>191</v>
      </c>
      <c r="B38" s="10" t="s">
        <v>146</v>
      </c>
      <c r="C38" s="10" t="s">
        <v>221</v>
      </c>
      <c r="D38" s="10" t="s">
        <v>129</v>
      </c>
      <c r="E38" s="10" t="s">
        <v>222</v>
      </c>
      <c r="F38" s="10" t="s">
        <v>223</v>
      </c>
      <c r="G38" s="10" t="s">
        <v>193</v>
      </c>
      <c r="H38" s="10" t="s">
        <v>224</v>
      </c>
      <c r="I38" s="33" t="s">
        <v>5</v>
      </c>
    </row>
    <row r="39" spans="1:9">
      <c r="A39" s="27" t="s">
        <v>191</v>
      </c>
      <c r="B39" s="7" t="s">
        <v>225</v>
      </c>
      <c r="C39" s="7" t="s">
        <v>226</v>
      </c>
      <c r="D39" s="7" t="s">
        <v>129</v>
      </c>
      <c r="E39" s="7" t="s">
        <v>227</v>
      </c>
      <c r="F39" s="7" t="s">
        <v>137</v>
      </c>
      <c r="G39" s="7" t="s">
        <v>143</v>
      </c>
      <c r="H39" s="7" t="s">
        <v>228</v>
      </c>
      <c r="I39" s="28" t="s">
        <v>5</v>
      </c>
    </row>
    <row r="40" spans="1:9">
      <c r="A40" s="24" t="s">
        <v>229</v>
      </c>
      <c r="B40" s="25" t="s">
        <v>230</v>
      </c>
      <c r="C40" s="25" t="s">
        <v>231</v>
      </c>
      <c r="D40" s="25" t="s">
        <v>232</v>
      </c>
      <c r="E40" s="25" t="s">
        <v>233</v>
      </c>
      <c r="F40" s="25" t="s">
        <v>234</v>
      </c>
      <c r="G40" s="25" t="s">
        <v>132</v>
      </c>
      <c r="H40" s="25" t="s">
        <v>235</v>
      </c>
      <c r="I40" s="26" t="s">
        <v>5</v>
      </c>
    </row>
    <row r="41" spans="1:9">
      <c r="A41" s="27" t="s">
        <v>229</v>
      </c>
      <c r="B41" s="7" t="s">
        <v>230</v>
      </c>
      <c r="C41" s="7" t="s">
        <v>236</v>
      </c>
      <c r="D41" s="7" t="s">
        <v>232</v>
      </c>
      <c r="E41" s="7" t="s">
        <v>237</v>
      </c>
      <c r="F41" s="7" t="s">
        <v>238</v>
      </c>
      <c r="G41" s="7" t="s">
        <v>132</v>
      </c>
      <c r="H41" s="7" t="s">
        <v>239</v>
      </c>
      <c r="I41" s="28" t="s">
        <v>5</v>
      </c>
    </row>
    <row r="42" spans="1:9">
      <c r="A42" s="27" t="s">
        <v>229</v>
      </c>
      <c r="B42" s="7" t="s">
        <v>230</v>
      </c>
      <c r="C42" s="7" t="s">
        <v>240</v>
      </c>
      <c r="D42" s="7" t="s">
        <v>241</v>
      </c>
      <c r="E42" s="7">
        <v>675</v>
      </c>
      <c r="F42" s="7" t="s">
        <v>242</v>
      </c>
      <c r="G42" s="7" t="s">
        <v>125</v>
      </c>
      <c r="H42" s="7" t="s">
        <v>243</v>
      </c>
      <c r="I42" s="28" t="s">
        <v>5</v>
      </c>
    </row>
    <row r="43" spans="1:9">
      <c r="A43" s="27" t="s">
        <v>229</v>
      </c>
      <c r="B43" s="7" t="s">
        <v>230</v>
      </c>
      <c r="C43" s="7" t="s">
        <v>240</v>
      </c>
      <c r="D43" s="7" t="s">
        <v>244</v>
      </c>
      <c r="E43" s="7">
        <v>1000</v>
      </c>
      <c r="F43" s="7" t="s">
        <v>242</v>
      </c>
      <c r="G43" s="7" t="s">
        <v>125</v>
      </c>
      <c r="H43" s="7" t="s">
        <v>243</v>
      </c>
      <c r="I43" s="28" t="s">
        <v>5</v>
      </c>
    </row>
    <row r="44" spans="1:9">
      <c r="A44" s="27" t="s">
        <v>229</v>
      </c>
      <c r="B44" s="7" t="s">
        <v>230</v>
      </c>
      <c r="C44" s="7" t="s">
        <v>245</v>
      </c>
      <c r="D44" s="7" t="s">
        <v>129</v>
      </c>
      <c r="E44" s="7" t="s">
        <v>246</v>
      </c>
      <c r="F44" s="7" t="s">
        <v>137</v>
      </c>
      <c r="G44" s="7" t="s">
        <v>132</v>
      </c>
      <c r="H44" s="7" t="s">
        <v>247</v>
      </c>
      <c r="I44" s="28" t="s">
        <v>5</v>
      </c>
    </row>
    <row r="45" spans="1:9">
      <c r="A45" s="27" t="s">
        <v>229</v>
      </c>
      <c r="B45" s="7" t="s">
        <v>230</v>
      </c>
      <c r="C45" s="7" t="s">
        <v>240</v>
      </c>
      <c r="D45" s="7" t="s">
        <v>248</v>
      </c>
      <c r="E45" s="7">
        <v>80</v>
      </c>
      <c r="F45" s="7" t="s">
        <v>242</v>
      </c>
      <c r="G45" s="7" t="s">
        <v>125</v>
      </c>
      <c r="H45" s="7" t="s">
        <v>249</v>
      </c>
      <c r="I45" s="28" t="s">
        <v>5</v>
      </c>
    </row>
    <row r="46" spans="1:9">
      <c r="A46" s="27" t="s">
        <v>229</v>
      </c>
      <c r="B46" s="7" t="s">
        <v>230</v>
      </c>
      <c r="C46" s="7" t="s">
        <v>240</v>
      </c>
      <c r="D46" s="7" t="s">
        <v>250</v>
      </c>
      <c r="E46" s="7">
        <v>150</v>
      </c>
      <c r="F46" s="7" t="s">
        <v>242</v>
      </c>
      <c r="G46" s="7" t="s">
        <v>125</v>
      </c>
      <c r="H46" s="7" t="s">
        <v>251</v>
      </c>
      <c r="I46" s="28" t="s">
        <v>5</v>
      </c>
    </row>
    <row r="47" spans="1:9">
      <c r="A47" s="27" t="s">
        <v>229</v>
      </c>
      <c r="B47" s="7" t="s">
        <v>230</v>
      </c>
      <c r="C47" s="7" t="s">
        <v>240</v>
      </c>
      <c r="D47" s="7" t="s">
        <v>252</v>
      </c>
      <c r="E47" s="7">
        <v>150</v>
      </c>
      <c r="F47" s="7" t="s">
        <v>242</v>
      </c>
      <c r="G47" s="7" t="s">
        <v>125</v>
      </c>
      <c r="H47" s="7" t="s">
        <v>249</v>
      </c>
      <c r="I47" s="28" t="s">
        <v>5</v>
      </c>
    </row>
    <row r="48" spans="1:9">
      <c r="A48" s="70" t="s">
        <v>229</v>
      </c>
      <c r="B48" s="7" t="s">
        <v>230</v>
      </c>
      <c r="C48" s="7" t="s">
        <v>240</v>
      </c>
      <c r="D48" s="7" t="s">
        <v>253</v>
      </c>
      <c r="E48" s="7">
        <v>300</v>
      </c>
      <c r="F48" s="7" t="s">
        <v>242</v>
      </c>
      <c r="G48" s="7" t="s">
        <v>125</v>
      </c>
      <c r="H48" s="7" t="s">
        <v>251</v>
      </c>
      <c r="I48" s="28" t="s">
        <v>5</v>
      </c>
    </row>
    <row r="49" spans="1:9">
      <c r="A49" s="27" t="s">
        <v>229</v>
      </c>
      <c r="B49" s="7" t="s">
        <v>230</v>
      </c>
      <c r="C49" s="7" t="s">
        <v>240</v>
      </c>
      <c r="D49" s="7" t="s">
        <v>254</v>
      </c>
      <c r="E49" s="7">
        <v>300</v>
      </c>
      <c r="F49" s="7" t="s">
        <v>242</v>
      </c>
      <c r="G49" s="7" t="s">
        <v>125</v>
      </c>
      <c r="H49" s="7" t="s">
        <v>249</v>
      </c>
      <c r="I49" s="28" t="s">
        <v>5</v>
      </c>
    </row>
    <row r="50" spans="1:9">
      <c r="A50" s="27" t="s">
        <v>229</v>
      </c>
      <c r="B50" s="7" t="s">
        <v>230</v>
      </c>
      <c r="C50" s="7" t="s">
        <v>240</v>
      </c>
      <c r="D50" s="7" t="s">
        <v>255</v>
      </c>
      <c r="E50" s="7">
        <v>300</v>
      </c>
      <c r="F50" s="7" t="s">
        <v>242</v>
      </c>
      <c r="G50" s="7" t="s">
        <v>125</v>
      </c>
      <c r="H50" s="7" t="s">
        <v>251</v>
      </c>
      <c r="I50" s="28" t="s">
        <v>5</v>
      </c>
    </row>
    <row r="51" spans="1:9">
      <c r="A51" s="27" t="s">
        <v>229</v>
      </c>
      <c r="B51" s="7" t="s">
        <v>230</v>
      </c>
      <c r="C51" s="7" t="s">
        <v>256</v>
      </c>
      <c r="D51" s="7" t="s">
        <v>129</v>
      </c>
      <c r="E51" s="7" t="s">
        <v>257</v>
      </c>
      <c r="F51" s="7" t="s">
        <v>137</v>
      </c>
      <c r="G51" s="7" t="s">
        <v>132</v>
      </c>
      <c r="H51" s="7" t="s">
        <v>258</v>
      </c>
      <c r="I51" s="28" t="s">
        <v>5</v>
      </c>
    </row>
    <row r="52" spans="1:9">
      <c r="A52" s="21" t="s">
        <v>229</v>
      </c>
      <c r="B52" s="22" t="s">
        <v>230</v>
      </c>
      <c r="C52" s="22" t="s">
        <v>259</v>
      </c>
      <c r="D52" s="22" t="s">
        <v>129</v>
      </c>
      <c r="E52" s="22" t="s">
        <v>260</v>
      </c>
      <c r="F52" s="22" t="s">
        <v>137</v>
      </c>
      <c r="G52" s="22" t="s">
        <v>132</v>
      </c>
      <c r="H52" s="22" t="s">
        <v>261</v>
      </c>
      <c r="I52" s="23" t="s">
        <v>5</v>
      </c>
    </row>
    <row r="53" spans="1:9">
      <c r="A53" s="27" t="s">
        <v>262</v>
      </c>
      <c r="B53" s="7" t="s">
        <v>263</v>
      </c>
      <c r="C53" s="7" t="s">
        <v>264</v>
      </c>
      <c r="D53" s="7" t="s">
        <v>265</v>
      </c>
      <c r="E53" s="7">
        <v>104.04</v>
      </c>
      <c r="F53" s="7" t="s">
        <v>266</v>
      </c>
      <c r="G53" s="7" t="s">
        <v>125</v>
      </c>
      <c r="H53" s="7" t="s">
        <v>267</v>
      </c>
      <c r="I53" s="28" t="s">
        <v>5</v>
      </c>
    </row>
    <row r="54" spans="1:9">
      <c r="A54" s="27" t="s">
        <v>262</v>
      </c>
      <c r="B54" s="7" t="s">
        <v>268</v>
      </c>
      <c r="C54" s="7" t="s">
        <v>264</v>
      </c>
      <c r="D54" s="7" t="s">
        <v>269</v>
      </c>
      <c r="E54" s="7">
        <v>51.84</v>
      </c>
      <c r="F54" s="7" t="s">
        <v>266</v>
      </c>
      <c r="G54" s="7" t="s">
        <v>125</v>
      </c>
      <c r="H54" s="7" t="s">
        <v>270</v>
      </c>
      <c r="I54" s="28" t="s">
        <v>5</v>
      </c>
    </row>
    <row r="55" spans="1:9">
      <c r="A55" s="27" t="s">
        <v>262</v>
      </c>
      <c r="B55" s="7" t="s">
        <v>271</v>
      </c>
      <c r="C55" s="7" t="s">
        <v>264</v>
      </c>
      <c r="D55" s="7" t="s">
        <v>272</v>
      </c>
      <c r="E55" s="30">
        <v>2000</v>
      </c>
      <c r="F55" s="7" t="s">
        <v>273</v>
      </c>
      <c r="G55" s="7" t="s">
        <v>143</v>
      </c>
      <c r="H55" s="7" t="s">
        <v>274</v>
      </c>
      <c r="I55" s="28" t="s">
        <v>5</v>
      </c>
    </row>
    <row r="56" spans="1:9">
      <c r="A56" s="27" t="s">
        <v>262</v>
      </c>
      <c r="B56" s="7" t="s">
        <v>275</v>
      </c>
      <c r="C56" s="7" t="s">
        <v>135</v>
      </c>
      <c r="D56" s="7" t="s">
        <v>265</v>
      </c>
      <c r="E56" s="7" t="s">
        <v>276</v>
      </c>
      <c r="F56" s="7" t="s">
        <v>137</v>
      </c>
      <c r="G56" s="7" t="s">
        <v>132</v>
      </c>
      <c r="H56" s="7" t="s">
        <v>277</v>
      </c>
      <c r="I56" s="28" t="s">
        <v>5</v>
      </c>
    </row>
    <row r="57" spans="1:9">
      <c r="A57" s="27" t="s">
        <v>262</v>
      </c>
      <c r="B57" s="7" t="s">
        <v>275</v>
      </c>
      <c r="C57" s="7" t="s">
        <v>135</v>
      </c>
      <c r="D57" s="7" t="s">
        <v>269</v>
      </c>
      <c r="E57" s="7" t="s">
        <v>278</v>
      </c>
      <c r="F57" s="7" t="s">
        <v>137</v>
      </c>
      <c r="G57" s="7" t="s">
        <v>132</v>
      </c>
      <c r="H57" s="7" t="s">
        <v>277</v>
      </c>
      <c r="I57" s="28" t="s">
        <v>5</v>
      </c>
    </row>
    <row r="58" spans="1:9">
      <c r="A58" s="27" t="s">
        <v>262</v>
      </c>
      <c r="B58" s="7" t="s">
        <v>275</v>
      </c>
      <c r="C58" s="7" t="s">
        <v>135</v>
      </c>
      <c r="D58" s="7" t="s">
        <v>272</v>
      </c>
      <c r="E58" s="7" t="s">
        <v>279</v>
      </c>
      <c r="F58" s="7" t="s">
        <v>137</v>
      </c>
      <c r="G58" s="7" t="s">
        <v>143</v>
      </c>
      <c r="H58" s="7" t="s">
        <v>280</v>
      </c>
      <c r="I58" s="28" t="s">
        <v>5</v>
      </c>
    </row>
    <row r="59" spans="1:9">
      <c r="A59" s="27" t="s">
        <v>262</v>
      </c>
      <c r="B59" s="7" t="s">
        <v>281</v>
      </c>
      <c r="C59" s="7" t="s">
        <v>282</v>
      </c>
      <c r="D59" s="7" t="s">
        <v>129</v>
      </c>
      <c r="E59" s="7" t="s">
        <v>283</v>
      </c>
      <c r="F59" s="7" t="s">
        <v>142</v>
      </c>
      <c r="G59" s="7" t="s">
        <v>161</v>
      </c>
      <c r="H59" s="7" t="s">
        <v>284</v>
      </c>
      <c r="I59" s="28" t="s">
        <v>5</v>
      </c>
    </row>
    <row r="60" spans="1:9">
      <c r="A60" s="27" t="s">
        <v>262</v>
      </c>
      <c r="B60" s="7" t="s">
        <v>285</v>
      </c>
      <c r="C60" s="7" t="s">
        <v>282</v>
      </c>
      <c r="D60" s="7" t="s">
        <v>129</v>
      </c>
      <c r="E60" s="7" t="s">
        <v>286</v>
      </c>
      <c r="F60" s="7" t="s">
        <v>142</v>
      </c>
      <c r="G60" s="7" t="s">
        <v>161</v>
      </c>
      <c r="H60" s="7" t="s">
        <v>287</v>
      </c>
      <c r="I60" s="28" t="s">
        <v>5</v>
      </c>
    </row>
    <row r="61" spans="1:9">
      <c r="A61" s="13" t="s">
        <v>288</v>
      </c>
      <c r="B61" s="14" t="s">
        <v>289</v>
      </c>
      <c r="C61" s="14" t="s">
        <v>264</v>
      </c>
      <c r="D61" s="14" t="s">
        <v>290</v>
      </c>
      <c r="E61" s="14">
        <v>250</v>
      </c>
      <c r="F61" s="14" t="s">
        <v>291</v>
      </c>
      <c r="G61" s="14" t="s">
        <v>143</v>
      </c>
      <c r="H61" s="14" t="s">
        <v>292</v>
      </c>
      <c r="I61" s="15" t="s">
        <v>5</v>
      </c>
    </row>
    <row r="62" spans="1:9">
      <c r="A62" s="16" t="s">
        <v>288</v>
      </c>
      <c r="B62" s="6" t="s">
        <v>293</v>
      </c>
      <c r="C62" s="6" t="s">
        <v>264</v>
      </c>
      <c r="D62" s="6" t="s">
        <v>294</v>
      </c>
      <c r="E62" s="6">
        <v>200</v>
      </c>
      <c r="F62" s="6" t="s">
        <v>291</v>
      </c>
      <c r="G62" s="6" t="s">
        <v>143</v>
      </c>
      <c r="H62" s="6" t="s">
        <v>295</v>
      </c>
      <c r="I62" s="17" t="s">
        <v>5</v>
      </c>
    </row>
    <row r="63" spans="1:9">
      <c r="A63" s="16" t="s">
        <v>288</v>
      </c>
      <c r="B63" s="6" t="s">
        <v>296</v>
      </c>
      <c r="C63" s="6" t="s">
        <v>264</v>
      </c>
      <c r="D63" s="6" t="s">
        <v>297</v>
      </c>
      <c r="E63" s="6">
        <v>250</v>
      </c>
      <c r="F63" s="6" t="s">
        <v>291</v>
      </c>
      <c r="G63" s="6" t="s">
        <v>143</v>
      </c>
      <c r="H63" s="6" t="s">
        <v>298</v>
      </c>
      <c r="I63" s="17" t="s">
        <v>5</v>
      </c>
    </row>
    <row r="64" spans="1:9">
      <c r="A64" s="16" t="s">
        <v>288</v>
      </c>
      <c r="B64" s="6" t="s">
        <v>299</v>
      </c>
      <c r="C64" s="6" t="s">
        <v>135</v>
      </c>
      <c r="D64" s="6" t="s">
        <v>290</v>
      </c>
      <c r="E64" s="6" t="s">
        <v>300</v>
      </c>
      <c r="F64" s="6" t="s">
        <v>137</v>
      </c>
      <c r="G64" s="6" t="s">
        <v>143</v>
      </c>
      <c r="H64" s="6" t="s">
        <v>301</v>
      </c>
      <c r="I64" s="17" t="s">
        <v>5</v>
      </c>
    </row>
    <row r="65" spans="1:9">
      <c r="A65" s="16" t="s">
        <v>288</v>
      </c>
      <c r="B65" s="6" t="s">
        <v>299</v>
      </c>
      <c r="C65" s="6" t="s">
        <v>135</v>
      </c>
      <c r="D65" s="6" t="s">
        <v>294</v>
      </c>
      <c r="E65" s="6" t="s">
        <v>302</v>
      </c>
      <c r="F65" s="6" t="s">
        <v>137</v>
      </c>
      <c r="G65" s="6" t="s">
        <v>143</v>
      </c>
      <c r="H65" s="6" t="s">
        <v>303</v>
      </c>
      <c r="I65" s="17" t="s">
        <v>5</v>
      </c>
    </row>
    <row r="66" spans="1:9">
      <c r="A66" s="16" t="s">
        <v>288</v>
      </c>
      <c r="B66" s="6" t="s">
        <v>304</v>
      </c>
      <c r="C66" s="6" t="s">
        <v>135</v>
      </c>
      <c r="D66" s="6" t="s">
        <v>297</v>
      </c>
      <c r="E66" s="6" t="s">
        <v>300</v>
      </c>
      <c r="F66" s="6" t="s">
        <v>137</v>
      </c>
      <c r="G66" s="6" t="s">
        <v>143</v>
      </c>
      <c r="H66" s="6" t="s">
        <v>305</v>
      </c>
      <c r="I66" s="17" t="s">
        <v>5</v>
      </c>
    </row>
    <row r="67" spans="1:9">
      <c r="A67" s="21" t="s">
        <v>288</v>
      </c>
      <c r="B67" s="22" t="s">
        <v>306</v>
      </c>
      <c r="C67" s="22" t="s">
        <v>282</v>
      </c>
      <c r="D67" s="22" t="s">
        <v>129</v>
      </c>
      <c r="E67" s="22" t="s">
        <v>307</v>
      </c>
      <c r="F67" s="22" t="s">
        <v>142</v>
      </c>
      <c r="G67" s="22" t="s">
        <v>161</v>
      </c>
      <c r="H67" s="22" t="s">
        <v>308</v>
      </c>
      <c r="I67" s="23" t="s">
        <v>5</v>
      </c>
    </row>
    <row r="68" spans="1:9">
      <c r="A68" s="16" t="s">
        <v>309</v>
      </c>
      <c r="B68" s="6" t="s">
        <v>310</v>
      </c>
      <c r="C68" s="6" t="s">
        <v>311</v>
      </c>
      <c r="D68" s="6" t="s">
        <v>129</v>
      </c>
      <c r="E68" s="6">
        <v>100</v>
      </c>
      <c r="F68" s="6" t="s">
        <v>312</v>
      </c>
      <c r="G68" s="6" t="s">
        <v>143</v>
      </c>
      <c r="H68" s="6" t="s">
        <v>313</v>
      </c>
      <c r="I68" s="17" t="s">
        <v>5</v>
      </c>
    </row>
    <row r="69" spans="1:9">
      <c r="A69" s="16" t="s">
        <v>309</v>
      </c>
      <c r="B69" s="6" t="s">
        <v>310</v>
      </c>
      <c r="C69" s="6" t="s">
        <v>135</v>
      </c>
      <c r="D69" s="6" t="s">
        <v>129</v>
      </c>
      <c r="E69" s="6" t="s">
        <v>314</v>
      </c>
      <c r="F69" s="6" t="s">
        <v>137</v>
      </c>
      <c r="G69" s="6" t="s">
        <v>143</v>
      </c>
      <c r="H69" s="6" t="s">
        <v>315</v>
      </c>
      <c r="I69" s="17" t="s">
        <v>5</v>
      </c>
    </row>
    <row r="70" spans="1:9">
      <c r="A70" s="16" t="s">
        <v>309</v>
      </c>
      <c r="B70" s="6" t="s">
        <v>316</v>
      </c>
      <c r="C70" s="6" t="s">
        <v>317</v>
      </c>
      <c r="D70" s="6" t="s">
        <v>129</v>
      </c>
      <c r="E70" s="6">
        <v>1</v>
      </c>
      <c r="F70" s="6" t="s">
        <v>318</v>
      </c>
      <c r="G70" s="6" t="s">
        <v>143</v>
      </c>
      <c r="H70" s="6" t="s">
        <v>319</v>
      </c>
      <c r="I70" s="17" t="s">
        <v>5</v>
      </c>
    </row>
    <row r="71" spans="1:9">
      <c r="A71" s="16" t="s">
        <v>309</v>
      </c>
      <c r="B71" s="6" t="s">
        <v>316</v>
      </c>
      <c r="C71" s="6" t="s">
        <v>135</v>
      </c>
      <c r="D71" s="6" t="s">
        <v>129</v>
      </c>
      <c r="E71" s="6" t="s">
        <v>320</v>
      </c>
      <c r="F71" s="6" t="s">
        <v>137</v>
      </c>
      <c r="G71" s="6" t="s">
        <v>143</v>
      </c>
      <c r="H71" s="6" t="s">
        <v>321</v>
      </c>
      <c r="I71" s="17" t="s">
        <v>5</v>
      </c>
    </row>
    <row r="72" spans="1:9">
      <c r="A72" s="16" t="s">
        <v>309</v>
      </c>
      <c r="B72" s="6" t="s">
        <v>322</v>
      </c>
      <c r="C72" s="6" t="s">
        <v>259</v>
      </c>
      <c r="D72" s="6" t="s">
        <v>129</v>
      </c>
      <c r="E72" s="6" t="s">
        <v>323</v>
      </c>
      <c r="F72" s="6" t="s">
        <v>137</v>
      </c>
      <c r="G72" s="6" t="s">
        <v>143</v>
      </c>
      <c r="H72" s="6" t="s">
        <v>324</v>
      </c>
      <c r="I72" s="17" t="s">
        <v>5</v>
      </c>
    </row>
    <row r="73" spans="1:9">
      <c r="A73" s="13" t="s">
        <v>325</v>
      </c>
      <c r="B73" s="14" t="s">
        <v>326</v>
      </c>
      <c r="C73" s="14" t="s">
        <v>327</v>
      </c>
      <c r="D73" s="14" t="s">
        <v>129</v>
      </c>
      <c r="E73" s="14">
        <v>1</v>
      </c>
      <c r="F73" s="14" t="s">
        <v>328</v>
      </c>
      <c r="G73" s="14" t="s">
        <v>161</v>
      </c>
      <c r="H73" s="14" t="s">
        <v>329</v>
      </c>
      <c r="I73" s="15" t="s">
        <v>5</v>
      </c>
    </row>
    <row r="74" spans="1:9">
      <c r="A74" s="16" t="s">
        <v>325</v>
      </c>
      <c r="B74" s="6" t="s">
        <v>326</v>
      </c>
      <c r="C74" s="6" t="s">
        <v>330</v>
      </c>
      <c r="D74" s="6" t="s">
        <v>129</v>
      </c>
      <c r="E74" s="6" t="s">
        <v>331</v>
      </c>
      <c r="F74" s="6" t="s">
        <v>137</v>
      </c>
      <c r="G74" s="6" t="s">
        <v>161</v>
      </c>
      <c r="H74" s="6" t="s">
        <v>332</v>
      </c>
      <c r="I74" s="17" t="s">
        <v>5</v>
      </c>
    </row>
    <row r="75" spans="1:9">
      <c r="A75" s="16" t="s">
        <v>325</v>
      </c>
      <c r="B75" s="6" t="s">
        <v>333</v>
      </c>
      <c r="C75" s="6" t="s">
        <v>334</v>
      </c>
      <c r="D75" s="6" t="s">
        <v>129</v>
      </c>
      <c r="E75" s="6">
        <v>500</v>
      </c>
      <c r="F75" s="6" t="s">
        <v>335</v>
      </c>
      <c r="G75" s="6" t="s">
        <v>143</v>
      </c>
      <c r="H75" s="6" t="s">
        <v>336</v>
      </c>
      <c r="I75" s="17" t="s">
        <v>5</v>
      </c>
    </row>
    <row r="76" spans="1:9">
      <c r="A76" s="16" t="s">
        <v>325</v>
      </c>
      <c r="B76" s="6" t="s">
        <v>333</v>
      </c>
      <c r="C76" s="6" t="s">
        <v>337</v>
      </c>
      <c r="D76" s="6" t="s">
        <v>129</v>
      </c>
      <c r="E76" s="6" t="s">
        <v>338</v>
      </c>
      <c r="F76" s="6" t="s">
        <v>137</v>
      </c>
      <c r="G76" s="6" t="s">
        <v>143</v>
      </c>
      <c r="H76" s="6" t="s">
        <v>339</v>
      </c>
      <c r="I76" s="17" t="s">
        <v>5</v>
      </c>
    </row>
    <row r="77" spans="1:9">
      <c r="A77" s="18" t="s">
        <v>325</v>
      </c>
      <c r="B77" s="19" t="s">
        <v>340</v>
      </c>
      <c r="C77" s="19" t="s">
        <v>259</v>
      </c>
      <c r="D77" s="19" t="s">
        <v>129</v>
      </c>
      <c r="E77" s="19" t="s">
        <v>341</v>
      </c>
      <c r="F77" s="19" t="s">
        <v>137</v>
      </c>
      <c r="G77" s="19" t="s">
        <v>143</v>
      </c>
      <c r="H77" s="19" t="s">
        <v>342</v>
      </c>
      <c r="I77" s="20" t="s">
        <v>5</v>
      </c>
    </row>
    <row r="78" spans="1:9">
      <c r="A78" t="s">
        <v>343</v>
      </c>
      <c r="B78" t="s">
        <v>344</v>
      </c>
      <c r="C78" t="s">
        <v>345</v>
      </c>
      <c r="D78" t="s">
        <v>346</v>
      </c>
      <c r="E78" t="s">
        <v>347</v>
      </c>
      <c r="F78" t="s">
        <v>137</v>
      </c>
      <c r="G78" t="s">
        <v>132</v>
      </c>
      <c r="H78" t="s">
        <v>348</v>
      </c>
    </row>
    <row r="79" spans="1:9">
      <c r="A79" t="s">
        <v>343</v>
      </c>
      <c r="B79" t="s">
        <v>344</v>
      </c>
      <c r="C79" t="s">
        <v>345</v>
      </c>
      <c r="D79" s="39" t="s">
        <v>349</v>
      </c>
      <c r="E79" s="39" t="s">
        <v>350</v>
      </c>
      <c r="F79" s="39" t="s">
        <v>137</v>
      </c>
      <c r="G79" s="39" t="s">
        <v>132</v>
      </c>
      <c r="H79" s="39" t="s">
        <v>348</v>
      </c>
      <c r="I79" s="3"/>
    </row>
  </sheetData>
  <hyperlinks>
    <hyperlink ref="H31" r:id="rId1" display="https://cccengineering.com.au/design-memos/fire-hydrant-hose-reel-requirements/" xr:uid="{318852CE-12E8-4F1C-A56B-3BCB0DAB420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537D-A215-463D-9AC0-A1AA6E4B16A8}">
  <dimension ref="A1:O50"/>
  <sheetViews>
    <sheetView workbookViewId="0">
      <selection activeCell="A2" sqref="A2"/>
    </sheetView>
  </sheetViews>
  <sheetFormatPr defaultColWidth="8.85546875" defaultRowHeight="15"/>
  <cols>
    <col min="1" max="1" width="54" bestFit="1" customWidth="1"/>
    <col min="2" max="2" width="10.7109375" bestFit="1" customWidth="1"/>
    <col min="3" max="3" width="18.85546875" bestFit="1" customWidth="1"/>
    <col min="4" max="4" width="31.7109375" bestFit="1" customWidth="1"/>
    <col min="5" max="5" width="17.140625" bestFit="1" customWidth="1"/>
    <col min="6" max="6" width="17" bestFit="1" customWidth="1"/>
    <col min="7" max="7" width="22.140625" bestFit="1" customWidth="1"/>
    <col min="8" max="8" width="19.28515625" bestFit="1" customWidth="1"/>
    <col min="10" max="10" width="18.85546875" bestFit="1" customWidth="1"/>
    <col min="11" max="11" width="14.42578125" bestFit="1" customWidth="1"/>
    <col min="12" max="12" width="16.85546875" bestFit="1" customWidth="1"/>
    <col min="13" max="13" width="6.42578125" bestFit="1" customWidth="1"/>
  </cols>
  <sheetData>
    <row r="1" spans="1:15" ht="15.95">
      <c r="A1" s="40" t="s">
        <v>351</v>
      </c>
      <c r="B1" s="40" t="s">
        <v>111</v>
      </c>
      <c r="C1" s="40" t="s">
        <v>112</v>
      </c>
      <c r="D1" s="40" t="s">
        <v>113</v>
      </c>
      <c r="E1" s="40" t="s">
        <v>352</v>
      </c>
      <c r="F1" s="40" t="s">
        <v>353</v>
      </c>
      <c r="G1" s="40" t="s">
        <v>354</v>
      </c>
      <c r="H1" s="40" t="s">
        <v>355</v>
      </c>
      <c r="I1" s="40" t="s">
        <v>356</v>
      </c>
      <c r="J1" s="40" t="s">
        <v>116</v>
      </c>
      <c r="K1" s="40" t="s">
        <v>117</v>
      </c>
      <c r="L1" s="40" t="s">
        <v>357</v>
      </c>
      <c r="M1" s="40" t="s">
        <v>358</v>
      </c>
      <c r="N1" s="40" t="s">
        <v>118</v>
      </c>
      <c r="O1" s="40" t="s">
        <v>359</v>
      </c>
    </row>
    <row r="2" spans="1:15" ht="15.95">
      <c r="A2" s="40" t="s">
        <v>360</v>
      </c>
      <c r="B2" s="40" t="s">
        <v>120</v>
      </c>
      <c r="C2" s="40" t="s">
        <v>361</v>
      </c>
      <c r="D2" s="40" t="s">
        <v>362</v>
      </c>
      <c r="E2" s="40" t="s">
        <v>363</v>
      </c>
      <c r="F2" s="40"/>
      <c r="G2" s="40" t="s">
        <v>364</v>
      </c>
      <c r="H2" s="40"/>
      <c r="I2" s="40">
        <v>1</v>
      </c>
      <c r="J2" s="40" t="s">
        <v>365</v>
      </c>
      <c r="K2" s="40" t="s">
        <v>55</v>
      </c>
      <c r="L2" s="40" t="s">
        <v>134</v>
      </c>
      <c r="M2" s="40" t="s">
        <v>5</v>
      </c>
      <c r="N2" s="40" t="s">
        <v>366</v>
      </c>
      <c r="O2" s="40" t="s">
        <v>367</v>
      </c>
    </row>
    <row r="3" spans="1:15" ht="15.95">
      <c r="A3" s="40" t="s">
        <v>368</v>
      </c>
      <c r="B3" s="40" t="s">
        <v>120</v>
      </c>
      <c r="C3" s="40" t="s">
        <v>361</v>
      </c>
      <c r="D3" s="40" t="s">
        <v>362</v>
      </c>
      <c r="E3" s="40" t="s">
        <v>363</v>
      </c>
      <c r="F3" s="40"/>
      <c r="G3" s="40" t="s">
        <v>369</v>
      </c>
      <c r="H3" s="40"/>
      <c r="I3" s="40">
        <v>0</v>
      </c>
      <c r="J3" s="40" t="s">
        <v>365</v>
      </c>
      <c r="K3" s="40" t="s">
        <v>55</v>
      </c>
      <c r="L3" s="40" t="s">
        <v>134</v>
      </c>
      <c r="M3" s="40" t="s">
        <v>5</v>
      </c>
      <c r="N3" s="40" t="s">
        <v>366</v>
      </c>
      <c r="O3" s="40" t="s">
        <v>370</v>
      </c>
    </row>
    <row r="4" spans="1:15" ht="15.95">
      <c r="A4" s="40" t="s">
        <v>371</v>
      </c>
      <c r="B4" s="40" t="s">
        <v>120</v>
      </c>
      <c r="C4" s="40" t="s">
        <v>121</v>
      </c>
      <c r="D4" s="40" t="s">
        <v>122</v>
      </c>
      <c r="E4" s="40" t="s">
        <v>372</v>
      </c>
      <c r="F4" s="40" t="s">
        <v>123</v>
      </c>
      <c r="G4" s="40"/>
      <c r="H4" s="40"/>
      <c r="I4" s="40">
        <v>21</v>
      </c>
      <c r="J4" s="40" t="s">
        <v>373</v>
      </c>
      <c r="K4" s="40" t="s">
        <v>125</v>
      </c>
      <c r="L4" s="40" t="s">
        <v>5</v>
      </c>
      <c r="M4" s="40" t="s">
        <v>5</v>
      </c>
      <c r="N4" s="40" t="s">
        <v>374</v>
      </c>
      <c r="O4" s="40" t="s">
        <v>375</v>
      </c>
    </row>
    <row r="5" spans="1:15" ht="15.95">
      <c r="A5" s="40" t="s">
        <v>376</v>
      </c>
      <c r="B5" s="40" t="s">
        <v>120</v>
      </c>
      <c r="C5" s="40" t="s">
        <v>121</v>
      </c>
      <c r="D5" s="40" t="s">
        <v>122</v>
      </c>
      <c r="E5" s="40" t="s">
        <v>372</v>
      </c>
      <c r="F5" s="40" t="s">
        <v>127</v>
      </c>
      <c r="G5" s="40"/>
      <c r="H5" s="40"/>
      <c r="I5" s="40">
        <v>12</v>
      </c>
      <c r="J5" s="40" t="s">
        <v>373</v>
      </c>
      <c r="K5" s="40" t="s">
        <v>125</v>
      </c>
      <c r="L5" s="40" t="s">
        <v>5</v>
      </c>
      <c r="M5" s="40" t="s">
        <v>5</v>
      </c>
      <c r="N5" s="40" t="s">
        <v>374</v>
      </c>
      <c r="O5" s="40" t="s">
        <v>375</v>
      </c>
    </row>
    <row r="6" spans="1:15" ht="15.95">
      <c r="A6" s="40" t="s">
        <v>377</v>
      </c>
      <c r="B6" s="40" t="s">
        <v>120</v>
      </c>
      <c r="C6" s="40" t="s">
        <v>121</v>
      </c>
      <c r="D6" s="40" t="s">
        <v>122</v>
      </c>
      <c r="E6" s="40" t="s">
        <v>372</v>
      </c>
      <c r="F6" s="40" t="s">
        <v>31</v>
      </c>
      <c r="G6" s="40"/>
      <c r="H6" s="40"/>
      <c r="I6" s="40">
        <v>9</v>
      </c>
      <c r="J6" s="40" t="s">
        <v>373</v>
      </c>
      <c r="K6" s="40" t="s">
        <v>125</v>
      </c>
      <c r="L6" s="40" t="s">
        <v>5</v>
      </c>
      <c r="M6" s="40" t="s">
        <v>5</v>
      </c>
      <c r="N6" s="40" t="s">
        <v>374</v>
      </c>
      <c r="O6" s="40" t="s">
        <v>375</v>
      </c>
    </row>
    <row r="7" spans="1:15" ht="15.95">
      <c r="A7" s="40" t="s">
        <v>378</v>
      </c>
      <c r="B7" s="40" t="s">
        <v>120</v>
      </c>
      <c r="C7" s="40" t="s">
        <v>139</v>
      </c>
      <c r="D7" s="40" t="s">
        <v>140</v>
      </c>
      <c r="E7" s="40" t="s">
        <v>379</v>
      </c>
      <c r="F7" s="40"/>
      <c r="G7" s="40" t="s">
        <v>380</v>
      </c>
      <c r="H7" s="40"/>
      <c r="I7" s="40">
        <v>1</v>
      </c>
      <c r="J7" s="40" t="s">
        <v>142</v>
      </c>
      <c r="K7" s="40" t="s">
        <v>143</v>
      </c>
      <c r="L7" s="40" t="s">
        <v>5</v>
      </c>
      <c r="M7" s="40" t="s">
        <v>134</v>
      </c>
      <c r="N7" s="40" t="s">
        <v>381</v>
      </c>
      <c r="O7" s="40" t="s">
        <v>382</v>
      </c>
    </row>
    <row r="8" spans="1:15" ht="15.95">
      <c r="A8" s="40" t="s">
        <v>383</v>
      </c>
      <c r="B8" s="40" t="s">
        <v>120</v>
      </c>
      <c r="C8" s="40" t="s">
        <v>139</v>
      </c>
      <c r="D8" s="40" t="s">
        <v>140</v>
      </c>
      <c r="E8" s="40" t="s">
        <v>379</v>
      </c>
      <c r="F8" s="40"/>
      <c r="G8" s="40" t="s">
        <v>384</v>
      </c>
      <c r="H8" s="40"/>
      <c r="I8" s="40">
        <v>0</v>
      </c>
      <c r="J8" s="40" t="s">
        <v>142</v>
      </c>
      <c r="K8" s="40" t="s">
        <v>143</v>
      </c>
      <c r="L8" s="40" t="s">
        <v>5</v>
      </c>
      <c r="M8" s="40" t="s">
        <v>134</v>
      </c>
      <c r="N8" s="40" t="s">
        <v>381</v>
      </c>
      <c r="O8" s="40" t="s">
        <v>382</v>
      </c>
    </row>
    <row r="9" spans="1:15" ht="15.95">
      <c r="A9" s="40" t="s">
        <v>385</v>
      </c>
      <c r="B9" s="40" t="s">
        <v>166</v>
      </c>
      <c r="C9" s="40" t="s">
        <v>386</v>
      </c>
      <c r="D9" s="40" t="s">
        <v>362</v>
      </c>
      <c r="E9" s="40" t="s">
        <v>363</v>
      </c>
      <c r="F9" s="40"/>
      <c r="G9" s="40" t="s">
        <v>364</v>
      </c>
      <c r="H9" s="40"/>
      <c r="I9" s="40">
        <v>1</v>
      </c>
      <c r="J9" s="40" t="s">
        <v>365</v>
      </c>
      <c r="K9" s="40" t="s">
        <v>387</v>
      </c>
      <c r="L9" s="40" t="s">
        <v>134</v>
      </c>
      <c r="M9" s="40" t="s">
        <v>5</v>
      </c>
      <c r="N9" s="40" t="s">
        <v>388</v>
      </c>
      <c r="O9" s="40" t="s">
        <v>389</v>
      </c>
    </row>
    <row r="10" spans="1:15" ht="15.95">
      <c r="A10" s="40" t="s">
        <v>390</v>
      </c>
      <c r="B10" s="40" t="s">
        <v>166</v>
      </c>
      <c r="C10" s="40" t="s">
        <v>386</v>
      </c>
      <c r="D10" s="40" t="s">
        <v>362</v>
      </c>
      <c r="E10" s="40" t="s">
        <v>363</v>
      </c>
      <c r="F10" s="40"/>
      <c r="G10" s="40" t="s">
        <v>369</v>
      </c>
      <c r="H10" s="40"/>
      <c r="I10" s="40">
        <v>0</v>
      </c>
      <c r="J10" s="40" t="s">
        <v>365</v>
      </c>
      <c r="K10" s="40" t="s">
        <v>387</v>
      </c>
      <c r="L10" s="40" t="s">
        <v>134</v>
      </c>
      <c r="M10" s="40" t="s">
        <v>5</v>
      </c>
      <c r="N10" s="40" t="s">
        <v>388</v>
      </c>
      <c r="O10" s="40" t="s">
        <v>389</v>
      </c>
    </row>
    <row r="11" spans="1:15" ht="15.95">
      <c r="A11" s="40" t="s">
        <v>391</v>
      </c>
      <c r="B11" s="40" t="s">
        <v>166</v>
      </c>
      <c r="C11" s="40" t="s">
        <v>167</v>
      </c>
      <c r="D11" s="40" t="s">
        <v>392</v>
      </c>
      <c r="E11" s="40" t="s">
        <v>129</v>
      </c>
      <c r="F11" s="40"/>
      <c r="G11" s="40"/>
      <c r="H11" s="40"/>
      <c r="I11" s="40">
        <v>1</v>
      </c>
      <c r="J11" s="40" t="s">
        <v>142</v>
      </c>
      <c r="K11" s="40" t="s">
        <v>143</v>
      </c>
      <c r="L11" s="40" t="s">
        <v>5</v>
      </c>
      <c r="M11" s="40" t="s">
        <v>5</v>
      </c>
      <c r="N11" s="40" t="s">
        <v>393</v>
      </c>
      <c r="O11" s="40" t="s">
        <v>394</v>
      </c>
    </row>
    <row r="12" spans="1:15" ht="15.95">
      <c r="A12" s="40" t="s">
        <v>395</v>
      </c>
      <c r="B12" s="40" t="s">
        <v>166</v>
      </c>
      <c r="C12" s="40" t="s">
        <v>170</v>
      </c>
      <c r="D12" s="40" t="s">
        <v>173</v>
      </c>
      <c r="E12" s="40" t="s">
        <v>129</v>
      </c>
      <c r="F12" s="40"/>
      <c r="G12" s="40"/>
      <c r="H12" s="40"/>
      <c r="I12" s="40">
        <v>1</v>
      </c>
      <c r="J12" s="40" t="s">
        <v>174</v>
      </c>
      <c r="K12" s="40" t="s">
        <v>143</v>
      </c>
      <c r="L12" s="40" t="s">
        <v>5</v>
      </c>
      <c r="M12" s="40" t="s">
        <v>5</v>
      </c>
      <c r="N12" s="40" t="s">
        <v>396</v>
      </c>
      <c r="O12" s="40" t="s">
        <v>397</v>
      </c>
    </row>
    <row r="13" spans="1:15" ht="15.95">
      <c r="A13" s="40" t="s">
        <v>398</v>
      </c>
      <c r="B13" s="40" t="s">
        <v>166</v>
      </c>
      <c r="C13" s="40" t="s">
        <v>176</v>
      </c>
      <c r="D13" s="40" t="s">
        <v>177</v>
      </c>
      <c r="E13" s="40" t="s">
        <v>399</v>
      </c>
      <c r="F13" s="40"/>
      <c r="G13" s="40"/>
      <c r="H13" s="40" t="s">
        <v>400</v>
      </c>
      <c r="I13" s="40">
        <v>1</v>
      </c>
      <c r="J13" s="40" t="s">
        <v>142</v>
      </c>
      <c r="K13" s="40" t="s">
        <v>143</v>
      </c>
      <c r="L13" s="40" t="s">
        <v>5</v>
      </c>
      <c r="M13" s="40" t="s">
        <v>5</v>
      </c>
      <c r="N13" s="40" t="s">
        <v>401</v>
      </c>
      <c r="O13" s="40" t="s">
        <v>402</v>
      </c>
    </row>
    <row r="14" spans="1:15" ht="15.95">
      <c r="A14" s="40" t="s">
        <v>403</v>
      </c>
      <c r="B14" s="40" t="s">
        <v>166</v>
      </c>
      <c r="C14" s="40" t="s">
        <v>139</v>
      </c>
      <c r="D14" s="40" t="s">
        <v>140</v>
      </c>
      <c r="E14" s="40" t="s">
        <v>379</v>
      </c>
      <c r="F14" s="40"/>
      <c r="G14" s="40" t="s">
        <v>380</v>
      </c>
      <c r="H14" s="40"/>
      <c r="I14" s="40">
        <v>1</v>
      </c>
      <c r="J14" s="40" t="s">
        <v>142</v>
      </c>
      <c r="K14" s="40" t="s">
        <v>143</v>
      </c>
      <c r="L14" s="40" t="s">
        <v>5</v>
      </c>
      <c r="M14" s="40" t="s">
        <v>134</v>
      </c>
      <c r="N14" s="40" t="s">
        <v>381</v>
      </c>
      <c r="O14" s="40" t="s">
        <v>382</v>
      </c>
    </row>
    <row r="15" spans="1:15" ht="15.95">
      <c r="A15" s="40" t="s">
        <v>404</v>
      </c>
      <c r="B15" s="40" t="s">
        <v>166</v>
      </c>
      <c r="C15" s="40" t="s">
        <v>139</v>
      </c>
      <c r="D15" s="40" t="s">
        <v>140</v>
      </c>
      <c r="E15" s="40" t="s">
        <v>379</v>
      </c>
      <c r="F15" s="40"/>
      <c r="G15" s="40" t="s">
        <v>384</v>
      </c>
      <c r="H15" s="40"/>
      <c r="I15" s="40">
        <v>0</v>
      </c>
      <c r="J15" s="40" t="s">
        <v>142</v>
      </c>
      <c r="K15" s="40" t="s">
        <v>143</v>
      </c>
      <c r="L15" s="40" t="s">
        <v>5</v>
      </c>
      <c r="M15" s="40" t="s">
        <v>134</v>
      </c>
      <c r="N15" s="40" t="s">
        <v>381</v>
      </c>
      <c r="O15" s="40" t="s">
        <v>382</v>
      </c>
    </row>
    <row r="16" spans="1:15" ht="15.9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</row>
    <row r="17" spans="1:14" ht="15.9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</row>
    <row r="18" spans="1:14" ht="15.9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</row>
    <row r="19" spans="1:14" ht="15.9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</row>
    <row r="20" spans="1:14" ht="15.9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</row>
    <row r="21" spans="1:14" ht="15.9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ht="15.9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ht="15.9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</row>
    <row r="24" spans="1:14" ht="15.9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</row>
    <row r="25" spans="1:14" ht="15.9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</row>
    <row r="27" spans="1:14" ht="15.9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</row>
    <row r="28" spans="1:14" ht="15.9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</row>
    <row r="29" spans="1:14" ht="15.9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</row>
    <row r="30" spans="1:14" ht="15.9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</row>
    <row r="31" spans="1:14" ht="15.9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</row>
    <row r="32" spans="1:14" ht="15.9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</row>
    <row r="33" spans="1:13" ht="15.9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</row>
    <row r="34" spans="1:13" ht="15.9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</row>
    <row r="35" spans="1:13" ht="15.9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</row>
    <row r="36" spans="1:13" ht="15.9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</row>
    <row r="37" spans="1:13" ht="15.9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</row>
    <row r="38" spans="1:13" ht="15.9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</row>
    <row r="39" spans="1:13" ht="15.9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</row>
    <row r="40" spans="1:13" ht="15.9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</row>
    <row r="41" spans="1:13" ht="15.9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</row>
    <row r="42" spans="1:13" ht="15.9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</row>
    <row r="43" spans="1:13" ht="15.9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</row>
    <row r="44" spans="1:13" ht="15.9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</row>
    <row r="45" spans="1:13" ht="15.9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</row>
    <row r="46" spans="1:13" ht="15.95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</row>
    <row r="47" spans="1:13" ht="15.9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</row>
    <row r="48" spans="1:13" ht="15.9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</row>
    <row r="49" spans="1:13" ht="15.9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</row>
    <row r="50" spans="1:13" ht="15.95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FD0B-E81B-4ABD-9374-5EBA78C254EF}">
  <dimension ref="A1:O5"/>
  <sheetViews>
    <sheetView workbookViewId="0"/>
  </sheetViews>
  <sheetFormatPr defaultColWidth="8.85546875" defaultRowHeight="15"/>
  <cols>
    <col min="1" max="1" width="45" bestFit="1" customWidth="1"/>
    <col min="3" max="3" width="16.7109375" bestFit="1" customWidth="1"/>
    <col min="4" max="4" width="17.7109375" bestFit="1" customWidth="1"/>
    <col min="5" max="5" width="25.7109375" bestFit="1" customWidth="1"/>
  </cols>
  <sheetData>
    <row r="1" spans="1:15" ht="15.95">
      <c r="A1" s="40" t="s">
        <v>405</v>
      </c>
      <c r="B1" s="40" t="s">
        <v>111</v>
      </c>
      <c r="C1" s="40" t="s">
        <v>112</v>
      </c>
      <c r="D1" s="40" t="s">
        <v>406</v>
      </c>
      <c r="E1" s="40" t="s">
        <v>407</v>
      </c>
      <c r="F1" s="40" t="s">
        <v>408</v>
      </c>
      <c r="G1" s="40" t="s">
        <v>409</v>
      </c>
      <c r="H1" s="40" t="s">
        <v>410</v>
      </c>
      <c r="I1" s="40" t="s">
        <v>411</v>
      </c>
      <c r="J1" s="40" t="s">
        <v>412</v>
      </c>
      <c r="K1" s="40" t="s">
        <v>413</v>
      </c>
      <c r="L1" s="40" t="s">
        <v>117</v>
      </c>
      <c r="M1" s="40" t="s">
        <v>118</v>
      </c>
      <c r="N1" s="40" t="s">
        <v>358</v>
      </c>
      <c r="O1" s="40" t="s">
        <v>359</v>
      </c>
    </row>
    <row r="2" spans="1:15" ht="15.95">
      <c r="A2" s="40" t="s">
        <v>414</v>
      </c>
      <c r="B2" s="40" t="s">
        <v>120</v>
      </c>
      <c r="C2" s="40" t="s">
        <v>361</v>
      </c>
      <c r="D2" s="40" t="s">
        <v>363</v>
      </c>
      <c r="E2" s="40" t="s">
        <v>415</v>
      </c>
      <c r="F2" s="40" t="s">
        <v>416</v>
      </c>
      <c r="G2" s="40">
        <v>25</v>
      </c>
      <c r="H2" s="40" t="s">
        <v>23</v>
      </c>
      <c r="I2" s="40">
        <v>1</v>
      </c>
      <c r="J2" s="40">
        <v>0</v>
      </c>
      <c r="K2" s="40" t="s">
        <v>365</v>
      </c>
      <c r="L2" s="40" t="s">
        <v>55</v>
      </c>
      <c r="M2" s="40" t="s">
        <v>417</v>
      </c>
      <c r="N2" s="40" t="s">
        <v>5</v>
      </c>
      <c r="O2" s="40" t="s">
        <v>418</v>
      </c>
    </row>
    <row r="3" spans="1:15" ht="15.95">
      <c r="A3" s="40" t="s">
        <v>419</v>
      </c>
      <c r="B3" s="40" t="s">
        <v>166</v>
      </c>
      <c r="C3" s="40" t="s">
        <v>386</v>
      </c>
      <c r="D3" s="40" t="s">
        <v>363</v>
      </c>
      <c r="E3" s="40" t="s">
        <v>420</v>
      </c>
      <c r="F3" s="40" t="s">
        <v>416</v>
      </c>
      <c r="G3" s="40">
        <v>500</v>
      </c>
      <c r="H3" s="40" t="s">
        <v>421</v>
      </c>
      <c r="I3" s="40">
        <v>1</v>
      </c>
      <c r="J3" s="40">
        <v>0</v>
      </c>
      <c r="K3" s="40" t="s">
        <v>365</v>
      </c>
      <c r="L3" s="40" t="s">
        <v>387</v>
      </c>
      <c r="M3" s="40" t="s">
        <v>422</v>
      </c>
      <c r="N3" s="40" t="s">
        <v>5</v>
      </c>
      <c r="O3" s="40" t="s">
        <v>423</v>
      </c>
    </row>
    <row r="4" spans="1:15" ht="15.95">
      <c r="A4" s="40" t="s">
        <v>424</v>
      </c>
      <c r="B4" s="40" t="s">
        <v>120</v>
      </c>
      <c r="C4" s="40" t="s">
        <v>139</v>
      </c>
      <c r="D4" s="40" t="s">
        <v>140</v>
      </c>
      <c r="E4" s="40" t="s">
        <v>415</v>
      </c>
      <c r="F4" s="40" t="s">
        <v>416</v>
      </c>
      <c r="G4" s="40">
        <v>25</v>
      </c>
      <c r="H4" s="40" t="s">
        <v>23</v>
      </c>
      <c r="I4" s="40">
        <v>1</v>
      </c>
      <c r="J4" s="40">
        <v>0</v>
      </c>
      <c r="K4" s="40" t="s">
        <v>142</v>
      </c>
      <c r="L4" s="40" t="s">
        <v>143</v>
      </c>
      <c r="M4" s="40" t="s">
        <v>425</v>
      </c>
      <c r="N4" s="40" t="s">
        <v>134</v>
      </c>
      <c r="O4" s="40" t="s">
        <v>426</v>
      </c>
    </row>
    <row r="5" spans="1:15" ht="15.95">
      <c r="A5" s="40" t="s">
        <v>427</v>
      </c>
      <c r="B5" s="40" t="s">
        <v>166</v>
      </c>
      <c r="C5" s="40" t="s">
        <v>139</v>
      </c>
      <c r="D5" s="40" t="s">
        <v>140</v>
      </c>
      <c r="E5" s="40" t="s">
        <v>415</v>
      </c>
      <c r="F5" s="40" t="s">
        <v>416</v>
      </c>
      <c r="G5" s="40">
        <v>50</v>
      </c>
      <c r="H5" s="40" t="s">
        <v>23</v>
      </c>
      <c r="I5" s="40">
        <v>1</v>
      </c>
      <c r="J5" s="40">
        <v>0</v>
      </c>
      <c r="K5" s="40" t="s">
        <v>142</v>
      </c>
      <c r="L5" s="40" t="s">
        <v>143</v>
      </c>
      <c r="M5" s="40" t="s">
        <v>425</v>
      </c>
      <c r="N5" s="40" t="s">
        <v>134</v>
      </c>
      <c r="O5" s="40" t="s">
        <v>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35D1-1E87-4543-993A-37A9A2075662}">
  <dimension ref="A1:H99"/>
  <sheetViews>
    <sheetView tabSelected="1" workbookViewId="0">
      <selection activeCell="I62" sqref="I62"/>
    </sheetView>
  </sheetViews>
  <sheetFormatPr defaultRowHeight="15"/>
  <cols>
    <col min="1" max="1" width="49.7109375" bestFit="1" customWidth="1"/>
    <col min="2" max="2" width="42.28515625" bestFit="1" customWidth="1"/>
    <col min="3" max="3" width="36.7109375" customWidth="1"/>
    <col min="4" max="4" width="20.7109375" customWidth="1"/>
    <col min="5" max="5" width="23" bestFit="1" customWidth="1"/>
    <col min="6" max="6" width="14.28515625" bestFit="1" customWidth="1"/>
    <col min="7" max="7" width="26.28515625" bestFit="1" customWidth="1"/>
    <col min="8" max="8" width="10.42578125" bestFit="1" customWidth="1"/>
  </cols>
  <sheetData>
    <row r="1" spans="1:8">
      <c r="A1" s="11" t="s">
        <v>35</v>
      </c>
      <c r="B1" s="11" t="s">
        <v>428</v>
      </c>
      <c r="C1" s="77" t="s">
        <v>429</v>
      </c>
      <c r="D1" s="76" t="s">
        <v>430</v>
      </c>
      <c r="E1" s="11" t="s">
        <v>431</v>
      </c>
      <c r="F1" s="11" t="s">
        <v>432</v>
      </c>
      <c r="G1" s="11" t="s">
        <v>433</v>
      </c>
      <c r="H1" s="11" t="s">
        <v>434</v>
      </c>
    </row>
    <row r="2" spans="1:8">
      <c r="A2" s="97" t="s">
        <v>435</v>
      </c>
      <c r="B2" s="91" t="s">
        <v>436</v>
      </c>
      <c r="C2" s="78" t="s">
        <v>437</v>
      </c>
      <c r="D2" s="5"/>
      <c r="E2" s="5" t="s">
        <v>438</v>
      </c>
      <c r="F2" s="5" t="s">
        <v>439</v>
      </c>
      <c r="G2" s="5"/>
      <c r="H2" s="5" t="s">
        <v>440</v>
      </c>
    </row>
    <row r="3" spans="1:8">
      <c r="A3" s="97"/>
      <c r="B3" s="99" t="s">
        <v>441</v>
      </c>
      <c r="C3" s="78" t="s">
        <v>442</v>
      </c>
      <c r="D3" s="5"/>
      <c r="E3" s="5" t="s">
        <v>438</v>
      </c>
      <c r="F3" s="5" t="s">
        <v>439</v>
      </c>
      <c r="G3" s="5"/>
      <c r="H3" s="5" t="s">
        <v>440</v>
      </c>
    </row>
    <row r="4" spans="1:8">
      <c r="A4" s="97"/>
      <c r="B4" s="105"/>
      <c r="C4" s="78" t="s">
        <v>443</v>
      </c>
      <c r="D4" s="5"/>
      <c r="E4" s="5" t="s">
        <v>440</v>
      </c>
      <c r="F4" s="5" t="s">
        <v>440</v>
      </c>
      <c r="G4" s="5"/>
      <c r="H4" s="5" t="s">
        <v>440</v>
      </c>
    </row>
    <row r="5" spans="1:8">
      <c r="A5" s="97"/>
      <c r="B5" s="100"/>
      <c r="C5" s="83" t="s">
        <v>444</v>
      </c>
      <c r="D5" s="5"/>
      <c r="E5" s="5" t="s">
        <v>440</v>
      </c>
      <c r="F5" s="5" t="s">
        <v>440</v>
      </c>
      <c r="G5" s="5"/>
      <c r="H5" s="5" t="s">
        <v>440</v>
      </c>
    </row>
    <row r="6" spans="1:8">
      <c r="A6" s="97"/>
      <c r="B6" s="72" t="s">
        <v>445</v>
      </c>
      <c r="C6" s="78" t="s">
        <v>446</v>
      </c>
      <c r="D6" s="5"/>
      <c r="E6" s="5" t="s">
        <v>438</v>
      </c>
      <c r="F6" s="5" t="s">
        <v>439</v>
      </c>
      <c r="G6" s="5"/>
      <c r="H6" s="5" t="s">
        <v>440</v>
      </c>
    </row>
    <row r="7" spans="1:8">
      <c r="A7" s="97"/>
      <c r="B7" s="72" t="s">
        <v>447</v>
      </c>
      <c r="C7" s="78" t="s">
        <v>448</v>
      </c>
      <c r="D7" s="5"/>
      <c r="E7" s="5" t="s">
        <v>440</v>
      </c>
      <c r="F7" s="5" t="s">
        <v>439</v>
      </c>
      <c r="G7" s="5" t="s">
        <v>449</v>
      </c>
      <c r="H7" s="5" t="s">
        <v>440</v>
      </c>
    </row>
    <row r="8" spans="1:8">
      <c r="A8" s="97"/>
      <c r="B8" s="72" t="s">
        <v>450</v>
      </c>
      <c r="C8" s="86" t="s">
        <v>451</v>
      </c>
      <c r="D8" s="5"/>
      <c r="E8" s="5" t="s">
        <v>452</v>
      </c>
      <c r="F8" s="5" t="s">
        <v>439</v>
      </c>
      <c r="G8" s="5" t="s">
        <v>453</v>
      </c>
      <c r="H8" s="5" t="s">
        <v>440</v>
      </c>
    </row>
    <row r="9" spans="1:8">
      <c r="A9" s="97" t="s">
        <v>454</v>
      </c>
      <c r="B9" s="99" t="s">
        <v>455</v>
      </c>
      <c r="C9" s="86" t="s">
        <v>456</v>
      </c>
      <c r="D9" s="5"/>
      <c r="E9" s="5" t="s">
        <v>440</v>
      </c>
      <c r="F9" s="5" t="s">
        <v>440</v>
      </c>
      <c r="G9" s="88" t="s">
        <v>457</v>
      </c>
      <c r="H9" s="5" t="s">
        <v>440</v>
      </c>
    </row>
    <row r="10" spans="1:8" ht="30.75">
      <c r="A10" s="97"/>
      <c r="B10" s="105"/>
      <c r="C10" s="86" t="s">
        <v>458</v>
      </c>
      <c r="D10" s="89" t="s">
        <v>459</v>
      </c>
      <c r="E10" s="5" t="s">
        <v>440</v>
      </c>
      <c r="F10" s="5" t="s">
        <v>439</v>
      </c>
      <c r="G10" s="5" t="s">
        <v>453</v>
      </c>
      <c r="H10" s="5" t="s">
        <v>440</v>
      </c>
    </row>
    <row r="11" spans="1:8">
      <c r="A11" s="97"/>
      <c r="B11" s="105"/>
      <c r="C11" s="86" t="s">
        <v>460</v>
      </c>
      <c r="D11" s="42"/>
      <c r="E11" s="5" t="s">
        <v>440</v>
      </c>
      <c r="F11" s="5" t="s">
        <v>440</v>
      </c>
      <c r="G11" s="106" t="s">
        <v>457</v>
      </c>
      <c r="H11" s="5" t="s">
        <v>440</v>
      </c>
    </row>
    <row r="12" spans="1:8">
      <c r="A12" s="97"/>
      <c r="B12" s="105"/>
      <c r="C12" s="92" t="s">
        <v>461</v>
      </c>
      <c r="D12" s="84" t="s">
        <v>462</v>
      </c>
      <c r="E12" s="41" t="s">
        <v>440</v>
      </c>
      <c r="F12" s="5" t="s">
        <v>440</v>
      </c>
      <c r="G12" s="5"/>
      <c r="H12" s="5" t="s">
        <v>440</v>
      </c>
    </row>
    <row r="13" spans="1:8">
      <c r="A13" s="97"/>
      <c r="B13" s="103"/>
      <c r="C13" s="93"/>
      <c r="D13" s="75" t="s">
        <v>463</v>
      </c>
      <c r="E13" s="41" t="s">
        <v>452</v>
      </c>
      <c r="F13" s="5" t="s">
        <v>440</v>
      </c>
      <c r="G13" s="5"/>
      <c r="H13" s="5" t="s">
        <v>440</v>
      </c>
    </row>
    <row r="14" spans="1:8">
      <c r="A14" s="97"/>
      <c r="B14" s="72" t="s">
        <v>464</v>
      </c>
      <c r="C14" s="87" t="s">
        <v>465</v>
      </c>
      <c r="D14" s="85"/>
      <c r="E14" s="5" t="s">
        <v>440</v>
      </c>
      <c r="F14" s="5" t="s">
        <v>440</v>
      </c>
      <c r="G14" s="5"/>
      <c r="H14" s="5" t="s">
        <v>440</v>
      </c>
    </row>
    <row r="15" spans="1:8">
      <c r="A15" s="97"/>
      <c r="B15" s="72" t="s">
        <v>466</v>
      </c>
      <c r="C15" s="86" t="s">
        <v>290</v>
      </c>
      <c r="D15" s="5"/>
      <c r="E15" s="5" t="s">
        <v>440</v>
      </c>
      <c r="F15" s="5" t="s">
        <v>440</v>
      </c>
      <c r="G15" s="5"/>
      <c r="H15" s="5" t="s">
        <v>440</v>
      </c>
    </row>
    <row r="16" spans="1:8">
      <c r="A16" s="97" t="s">
        <v>467</v>
      </c>
      <c r="B16" s="72" t="s">
        <v>468</v>
      </c>
      <c r="C16" s="86" t="s">
        <v>469</v>
      </c>
      <c r="D16" s="5"/>
      <c r="E16" s="5" t="s">
        <v>440</v>
      </c>
      <c r="F16" s="5" t="s">
        <v>440</v>
      </c>
      <c r="G16" s="5"/>
      <c r="H16" s="5" t="s">
        <v>440</v>
      </c>
    </row>
    <row r="17" spans="1:8">
      <c r="A17" s="97"/>
      <c r="B17" s="97" t="s">
        <v>470</v>
      </c>
      <c r="C17" s="86" t="s">
        <v>471</v>
      </c>
      <c r="D17" s="5"/>
      <c r="E17" s="5" t="s">
        <v>452</v>
      </c>
      <c r="F17" s="5" t="s">
        <v>439</v>
      </c>
      <c r="G17" s="5" t="s">
        <v>472</v>
      </c>
      <c r="H17" s="5" t="s">
        <v>440</v>
      </c>
    </row>
    <row r="18" spans="1:8">
      <c r="A18" s="97"/>
      <c r="B18" s="97"/>
      <c r="C18" s="86" t="s">
        <v>473</v>
      </c>
      <c r="D18" s="5"/>
      <c r="E18" s="5" t="s">
        <v>440</v>
      </c>
      <c r="F18" s="5" t="s">
        <v>440</v>
      </c>
      <c r="G18" s="5"/>
      <c r="H18" s="5" t="s">
        <v>440</v>
      </c>
    </row>
    <row r="19" spans="1:8">
      <c r="A19" s="97" t="s">
        <v>474</v>
      </c>
      <c r="B19" s="97" t="s">
        <v>475</v>
      </c>
      <c r="C19" s="86" t="s">
        <v>476</v>
      </c>
      <c r="D19" s="5"/>
      <c r="E19" s="5" t="s">
        <v>438</v>
      </c>
      <c r="F19" s="5" t="s">
        <v>439</v>
      </c>
      <c r="G19" s="5" t="s">
        <v>477</v>
      </c>
      <c r="H19" s="5" t="s">
        <v>440</v>
      </c>
    </row>
    <row r="20" spans="1:8">
      <c r="A20" s="97"/>
      <c r="B20" s="97"/>
      <c r="C20" s="86" t="s">
        <v>478</v>
      </c>
      <c r="D20" s="5"/>
      <c r="E20" s="5" t="s">
        <v>438</v>
      </c>
      <c r="F20" s="5" t="s">
        <v>439</v>
      </c>
      <c r="G20" s="5" t="s">
        <v>479</v>
      </c>
      <c r="H20" s="5" t="s">
        <v>440</v>
      </c>
    </row>
    <row r="21" spans="1:8">
      <c r="A21" s="97"/>
      <c r="B21" s="97"/>
      <c r="C21" s="86" t="s">
        <v>480</v>
      </c>
      <c r="D21" s="5"/>
      <c r="E21" s="5" t="s">
        <v>440</v>
      </c>
      <c r="F21" s="5" t="s">
        <v>440</v>
      </c>
      <c r="G21" s="5"/>
      <c r="H21" s="5" t="s">
        <v>440</v>
      </c>
    </row>
    <row r="22" spans="1:8">
      <c r="A22" s="97"/>
      <c r="B22" s="97" t="s">
        <v>481</v>
      </c>
      <c r="C22" s="86" t="s">
        <v>482</v>
      </c>
      <c r="D22" s="5"/>
      <c r="E22" s="5" t="s">
        <v>452</v>
      </c>
      <c r="F22" s="5" t="s">
        <v>439</v>
      </c>
      <c r="G22" s="5" t="s">
        <v>483</v>
      </c>
      <c r="H22" s="5" t="s">
        <v>440</v>
      </c>
    </row>
    <row r="23" spans="1:8">
      <c r="A23" s="97"/>
      <c r="B23" s="97"/>
      <c r="C23" s="86" t="s">
        <v>484</v>
      </c>
      <c r="D23" s="5"/>
      <c r="E23" s="5" t="s">
        <v>440</v>
      </c>
      <c r="F23" s="5" t="s">
        <v>439</v>
      </c>
      <c r="G23" s="5" t="s">
        <v>485</v>
      </c>
      <c r="H23" s="5" t="s">
        <v>440</v>
      </c>
    </row>
    <row r="24" spans="1:8">
      <c r="A24" s="97"/>
      <c r="B24" s="97"/>
      <c r="C24" s="86" t="s">
        <v>478</v>
      </c>
      <c r="D24" s="5"/>
      <c r="E24" s="5" t="s">
        <v>440</v>
      </c>
      <c r="F24" s="5" t="s">
        <v>439</v>
      </c>
      <c r="G24" s="5" t="s">
        <v>485</v>
      </c>
      <c r="H24" s="5" t="s">
        <v>440</v>
      </c>
    </row>
    <row r="25" spans="1:8">
      <c r="A25" s="97" t="s">
        <v>486</v>
      </c>
      <c r="B25" s="99" t="s">
        <v>487</v>
      </c>
      <c r="C25" s="94" t="s">
        <v>488</v>
      </c>
      <c r="D25" s="5" t="s">
        <v>489</v>
      </c>
      <c r="E25" s="5" t="s">
        <v>438</v>
      </c>
      <c r="F25" s="5" t="s">
        <v>440</v>
      </c>
      <c r="G25" s="88" t="s">
        <v>490</v>
      </c>
      <c r="H25" s="5" t="s">
        <v>440</v>
      </c>
    </row>
    <row r="26" spans="1:8">
      <c r="A26" s="97"/>
      <c r="B26" s="105"/>
      <c r="C26" s="95"/>
      <c r="D26" s="5" t="s">
        <v>491</v>
      </c>
      <c r="E26" s="5" t="s">
        <v>438</v>
      </c>
      <c r="F26" s="5" t="s">
        <v>440</v>
      </c>
      <c r="G26" s="88" t="s">
        <v>490</v>
      </c>
      <c r="H26" s="5" t="s">
        <v>440</v>
      </c>
    </row>
    <row r="27" spans="1:8">
      <c r="A27" s="97"/>
      <c r="B27" s="105"/>
      <c r="C27" s="95"/>
      <c r="D27" s="5" t="s">
        <v>492</v>
      </c>
      <c r="E27" s="5" t="s">
        <v>438</v>
      </c>
      <c r="F27" s="5" t="s">
        <v>440</v>
      </c>
      <c r="G27" s="88" t="s">
        <v>490</v>
      </c>
      <c r="H27" s="5" t="s">
        <v>440</v>
      </c>
    </row>
    <row r="28" spans="1:8">
      <c r="A28" s="97"/>
      <c r="B28" s="100"/>
      <c r="C28" s="96"/>
      <c r="D28" s="5" t="s">
        <v>493</v>
      </c>
      <c r="E28" s="5" t="s">
        <v>438</v>
      </c>
      <c r="F28" s="5" t="s">
        <v>440</v>
      </c>
      <c r="G28" s="88" t="s">
        <v>490</v>
      </c>
      <c r="H28" s="5" t="s">
        <v>440</v>
      </c>
    </row>
    <row r="29" spans="1:8">
      <c r="A29" s="97"/>
      <c r="B29" s="72" t="s">
        <v>494</v>
      </c>
      <c r="C29" s="86" t="s">
        <v>495</v>
      </c>
      <c r="D29" s="5"/>
      <c r="E29" s="5" t="s">
        <v>452</v>
      </c>
      <c r="F29" s="5" t="s">
        <v>496</v>
      </c>
      <c r="G29" s="90" t="s">
        <v>497</v>
      </c>
      <c r="H29" s="5" t="s">
        <v>440</v>
      </c>
    </row>
    <row r="30" spans="1:8">
      <c r="A30" s="97"/>
      <c r="B30" s="97" t="s">
        <v>498</v>
      </c>
      <c r="C30" s="86" t="s">
        <v>499</v>
      </c>
      <c r="D30" s="5"/>
      <c r="E30" s="5" t="s">
        <v>452</v>
      </c>
      <c r="F30" s="5" t="s">
        <v>496</v>
      </c>
      <c r="G30" s="90" t="s">
        <v>497</v>
      </c>
      <c r="H30" s="5" t="s">
        <v>440</v>
      </c>
    </row>
    <row r="31" spans="1:8">
      <c r="A31" s="97"/>
      <c r="B31" s="97"/>
      <c r="C31" s="86" t="s">
        <v>500</v>
      </c>
      <c r="D31" s="5"/>
      <c r="E31" s="5" t="s">
        <v>440</v>
      </c>
      <c r="F31" s="5" t="s">
        <v>496</v>
      </c>
      <c r="G31" s="90" t="s">
        <v>497</v>
      </c>
      <c r="H31" s="5" t="s">
        <v>440</v>
      </c>
    </row>
    <row r="32" spans="1:8">
      <c r="A32" s="97"/>
      <c r="B32" s="97" t="s">
        <v>501</v>
      </c>
      <c r="C32" s="78" t="s">
        <v>502</v>
      </c>
      <c r="D32" s="5"/>
      <c r="E32" s="5" t="s">
        <v>438</v>
      </c>
      <c r="F32" s="5" t="s">
        <v>496</v>
      </c>
      <c r="G32" s="90" t="s">
        <v>497</v>
      </c>
      <c r="H32" s="5" t="s">
        <v>440</v>
      </c>
    </row>
    <row r="33" spans="1:8">
      <c r="A33" s="97"/>
      <c r="B33" s="97"/>
      <c r="C33" s="78" t="s">
        <v>503</v>
      </c>
      <c r="D33" s="5"/>
      <c r="E33" s="5" t="s">
        <v>452</v>
      </c>
      <c r="F33" s="5" t="s">
        <v>496</v>
      </c>
      <c r="G33" s="90" t="s">
        <v>497</v>
      </c>
      <c r="H33" s="5" t="s">
        <v>440</v>
      </c>
    </row>
    <row r="34" spans="1:8">
      <c r="A34" s="97"/>
      <c r="B34" s="72" t="s">
        <v>504</v>
      </c>
      <c r="C34" s="78" t="s">
        <v>505</v>
      </c>
      <c r="D34" s="5"/>
      <c r="E34" s="5" t="s">
        <v>440</v>
      </c>
      <c r="F34" s="5" t="s">
        <v>496</v>
      </c>
      <c r="G34" s="90" t="s">
        <v>497</v>
      </c>
      <c r="H34" s="5" t="s">
        <v>440</v>
      </c>
    </row>
    <row r="35" spans="1:8">
      <c r="A35" s="97"/>
      <c r="B35" s="72" t="s">
        <v>506</v>
      </c>
      <c r="C35" s="78" t="s">
        <v>507</v>
      </c>
      <c r="D35" s="5"/>
      <c r="E35" s="5" t="s">
        <v>452</v>
      </c>
      <c r="F35" s="5" t="s">
        <v>496</v>
      </c>
      <c r="G35" s="90" t="s">
        <v>497</v>
      </c>
      <c r="H35" s="5" t="s">
        <v>440</v>
      </c>
    </row>
    <row r="36" spans="1:8">
      <c r="A36" s="97"/>
      <c r="B36" s="99" t="s">
        <v>508</v>
      </c>
      <c r="C36" s="78" t="s">
        <v>509</v>
      </c>
      <c r="D36" s="5"/>
      <c r="E36" s="5" t="s">
        <v>452</v>
      </c>
      <c r="F36" s="5" t="s">
        <v>439</v>
      </c>
      <c r="G36" s="5" t="s">
        <v>510</v>
      </c>
      <c r="H36" s="5" t="s">
        <v>440</v>
      </c>
    </row>
    <row r="37" spans="1:8">
      <c r="A37" s="97"/>
      <c r="B37" s="100"/>
      <c r="C37" s="78" t="s">
        <v>511</v>
      </c>
      <c r="D37" s="5"/>
      <c r="E37" s="5" t="s">
        <v>440</v>
      </c>
      <c r="F37" s="5" t="s">
        <v>439</v>
      </c>
      <c r="G37" s="5" t="s">
        <v>510</v>
      </c>
      <c r="H37" s="5" t="s">
        <v>440</v>
      </c>
    </row>
    <row r="38" spans="1:8">
      <c r="A38" s="97"/>
      <c r="B38" s="72" t="s">
        <v>512</v>
      </c>
      <c r="C38" s="78" t="s">
        <v>513</v>
      </c>
      <c r="D38" s="5"/>
      <c r="E38" s="5" t="s">
        <v>438</v>
      </c>
      <c r="F38" s="5" t="s">
        <v>496</v>
      </c>
      <c r="G38" s="5" t="s">
        <v>514</v>
      </c>
      <c r="H38" s="5" t="s">
        <v>440</v>
      </c>
    </row>
    <row r="39" spans="1:8">
      <c r="A39" s="97"/>
      <c r="B39" s="72" t="s">
        <v>515</v>
      </c>
      <c r="C39" s="78" t="s">
        <v>516</v>
      </c>
      <c r="D39" s="5"/>
      <c r="E39" s="5" t="s">
        <v>452</v>
      </c>
      <c r="F39" s="5" t="s">
        <v>496</v>
      </c>
      <c r="G39" s="5" t="s">
        <v>514</v>
      </c>
      <c r="H39" s="5" t="s">
        <v>440</v>
      </c>
    </row>
    <row r="40" spans="1:8">
      <c r="A40" s="97"/>
      <c r="B40" s="72" t="s">
        <v>517</v>
      </c>
      <c r="C40" s="78" t="s">
        <v>518</v>
      </c>
      <c r="D40" s="5"/>
      <c r="E40" s="5" t="s">
        <v>452</v>
      </c>
      <c r="F40" s="5" t="s">
        <v>496</v>
      </c>
      <c r="G40" s="5" t="s">
        <v>514</v>
      </c>
      <c r="H40" s="5" t="s">
        <v>440</v>
      </c>
    </row>
    <row r="41" spans="1:8">
      <c r="A41" s="97" t="s">
        <v>519</v>
      </c>
      <c r="B41" s="99" t="s">
        <v>520</v>
      </c>
      <c r="C41" s="99" t="s">
        <v>41</v>
      </c>
      <c r="D41" s="5" t="s">
        <v>521</v>
      </c>
      <c r="E41" s="5" t="s">
        <v>452</v>
      </c>
      <c r="F41" s="5" t="s">
        <v>439</v>
      </c>
      <c r="G41" s="5"/>
      <c r="H41" s="5" t="s">
        <v>440</v>
      </c>
    </row>
    <row r="42" spans="1:8">
      <c r="A42" s="97"/>
      <c r="B42" s="105"/>
      <c r="C42" s="100"/>
      <c r="D42" s="5" t="s">
        <v>522</v>
      </c>
      <c r="E42" s="5" t="s">
        <v>440</v>
      </c>
      <c r="F42" s="5" t="s">
        <v>439</v>
      </c>
      <c r="G42" s="5"/>
      <c r="H42" s="5" t="s">
        <v>440</v>
      </c>
    </row>
    <row r="43" spans="1:8">
      <c r="A43" s="97"/>
      <c r="B43" s="105"/>
      <c r="C43" s="79" t="s">
        <v>523</v>
      </c>
      <c r="D43" s="5"/>
      <c r="E43" s="5" t="s">
        <v>452</v>
      </c>
      <c r="F43" s="5" t="s">
        <v>440</v>
      </c>
      <c r="G43" s="5"/>
      <c r="H43" s="5" t="s">
        <v>440</v>
      </c>
    </row>
    <row r="44" spans="1:8">
      <c r="A44" s="97"/>
      <c r="B44" s="102"/>
      <c r="C44" s="78" t="s">
        <v>524</v>
      </c>
      <c r="D44" s="5"/>
      <c r="E44" s="5" t="s">
        <v>440</v>
      </c>
      <c r="F44" s="5" t="s">
        <v>440</v>
      </c>
      <c r="G44" s="5"/>
      <c r="H44" s="5" t="s">
        <v>440</v>
      </c>
    </row>
    <row r="45" spans="1:8">
      <c r="A45" s="97"/>
      <c r="B45" s="102"/>
      <c r="C45" s="78" t="s">
        <v>525</v>
      </c>
      <c r="D45" s="5"/>
      <c r="E45" s="5" t="s">
        <v>440</v>
      </c>
      <c r="F45" s="5" t="s">
        <v>440</v>
      </c>
      <c r="G45" s="5"/>
      <c r="H45" s="5" t="s">
        <v>440</v>
      </c>
    </row>
    <row r="46" spans="1:8">
      <c r="A46" s="97"/>
      <c r="B46" s="103"/>
      <c r="C46" s="78" t="s">
        <v>526</v>
      </c>
      <c r="D46" s="5"/>
      <c r="E46" s="5" t="s">
        <v>440</v>
      </c>
      <c r="F46" s="5" t="s">
        <v>440</v>
      </c>
      <c r="G46" s="5"/>
      <c r="H46" s="5" t="s">
        <v>440</v>
      </c>
    </row>
    <row r="47" spans="1:8">
      <c r="A47" s="97"/>
      <c r="B47" s="101" t="s">
        <v>527</v>
      </c>
      <c r="C47" s="78" t="s">
        <v>528</v>
      </c>
      <c r="D47" s="5"/>
      <c r="E47" s="5" t="s">
        <v>438</v>
      </c>
      <c r="F47" s="5" t="s">
        <v>440</v>
      </c>
      <c r="G47" s="5"/>
      <c r="H47" s="5" t="s">
        <v>440</v>
      </c>
    </row>
    <row r="48" spans="1:8">
      <c r="A48" s="97"/>
      <c r="B48" s="102"/>
      <c r="C48" s="78" t="s">
        <v>529</v>
      </c>
      <c r="D48" s="5"/>
      <c r="E48" s="5" t="s">
        <v>440</v>
      </c>
      <c r="F48" s="5" t="s">
        <v>440</v>
      </c>
      <c r="G48" s="5"/>
      <c r="H48" s="5" t="s">
        <v>440</v>
      </c>
    </row>
    <row r="49" spans="1:8">
      <c r="A49" s="97"/>
      <c r="B49" s="102"/>
      <c r="C49" s="78" t="s">
        <v>525</v>
      </c>
      <c r="D49" s="5"/>
      <c r="E49" s="5" t="s">
        <v>440</v>
      </c>
      <c r="F49" s="5" t="s">
        <v>440</v>
      </c>
      <c r="G49" s="5"/>
      <c r="H49" s="5" t="s">
        <v>440</v>
      </c>
    </row>
    <row r="50" spans="1:8">
      <c r="A50" s="97"/>
      <c r="B50" s="103"/>
      <c r="C50" s="78" t="s">
        <v>526</v>
      </c>
      <c r="D50" s="5"/>
      <c r="E50" s="5" t="s">
        <v>440</v>
      </c>
      <c r="F50" s="5" t="s">
        <v>440</v>
      </c>
      <c r="G50" s="5"/>
      <c r="H50" s="5" t="s">
        <v>440</v>
      </c>
    </row>
    <row r="51" spans="1:8">
      <c r="A51" s="97" t="s">
        <v>530</v>
      </c>
      <c r="B51" s="104" t="s">
        <v>531</v>
      </c>
      <c r="C51" s="78" t="s">
        <v>532</v>
      </c>
      <c r="D51" s="5"/>
      <c r="E51" s="5" t="s">
        <v>438</v>
      </c>
      <c r="F51" s="5" t="s">
        <v>496</v>
      </c>
      <c r="G51" s="5" t="s">
        <v>533</v>
      </c>
      <c r="H51" s="5" t="s">
        <v>440</v>
      </c>
    </row>
    <row r="52" spans="1:8">
      <c r="A52" s="97"/>
      <c r="B52" s="104"/>
      <c r="C52" s="78" t="s">
        <v>534</v>
      </c>
      <c r="D52" s="5"/>
      <c r="E52" s="5" t="s">
        <v>440</v>
      </c>
      <c r="F52" s="5" t="s">
        <v>496</v>
      </c>
      <c r="G52" s="5" t="s">
        <v>535</v>
      </c>
      <c r="H52" s="5" t="s">
        <v>440</v>
      </c>
    </row>
    <row r="53" spans="1:8">
      <c r="A53" s="97"/>
      <c r="B53" s="104"/>
      <c r="C53" s="79" t="s">
        <v>536</v>
      </c>
      <c r="D53" s="5"/>
      <c r="E53" s="5" t="s">
        <v>438</v>
      </c>
      <c r="F53" s="5" t="s">
        <v>496</v>
      </c>
      <c r="G53" s="5" t="s">
        <v>535</v>
      </c>
      <c r="H53" s="5" t="s">
        <v>440</v>
      </c>
    </row>
    <row r="54" spans="1:8">
      <c r="A54" s="98" t="s">
        <v>537</v>
      </c>
      <c r="B54" s="74" t="s">
        <v>538</v>
      </c>
      <c r="C54" s="73" t="s">
        <v>539</v>
      </c>
      <c r="D54" s="80"/>
      <c r="E54" s="73"/>
      <c r="F54" s="73"/>
      <c r="G54" s="73"/>
      <c r="H54" s="73"/>
    </row>
    <row r="55" spans="1:8">
      <c r="A55" s="98"/>
      <c r="B55" s="74" t="s">
        <v>540</v>
      </c>
      <c r="C55" s="73" t="s">
        <v>539</v>
      </c>
      <c r="D55" s="80"/>
      <c r="E55" s="73"/>
      <c r="F55" s="73"/>
      <c r="G55" s="73"/>
      <c r="H55" s="73"/>
    </row>
    <row r="56" spans="1:8">
      <c r="A56" s="97" t="s">
        <v>541</v>
      </c>
      <c r="B56" s="97" t="s">
        <v>542</v>
      </c>
      <c r="C56" s="82" t="s">
        <v>543</v>
      </c>
      <c r="D56" s="5" t="s">
        <v>544</v>
      </c>
      <c r="E56" s="5" t="s">
        <v>438</v>
      </c>
      <c r="F56" s="5" t="s">
        <v>496</v>
      </c>
      <c r="G56" s="5" t="s">
        <v>514</v>
      </c>
      <c r="H56" s="5" t="s">
        <v>440</v>
      </c>
    </row>
    <row r="57" spans="1:8">
      <c r="A57" s="97"/>
      <c r="B57" s="97"/>
      <c r="C57" s="78" t="s">
        <v>545</v>
      </c>
      <c r="D57" s="5" t="s">
        <v>544</v>
      </c>
      <c r="E57" s="5" t="s">
        <v>438</v>
      </c>
      <c r="F57" s="5" t="s">
        <v>496</v>
      </c>
      <c r="G57" s="5" t="s">
        <v>514</v>
      </c>
      <c r="H57" s="5" t="s">
        <v>440</v>
      </c>
    </row>
    <row r="58" spans="1:8">
      <c r="A58" s="97"/>
      <c r="B58" s="97"/>
      <c r="C58" s="78" t="s">
        <v>546</v>
      </c>
      <c r="D58" s="5" t="s">
        <v>544</v>
      </c>
      <c r="E58" s="5" t="s">
        <v>438</v>
      </c>
      <c r="F58" s="5" t="s">
        <v>496</v>
      </c>
      <c r="G58" s="5" t="s">
        <v>514</v>
      </c>
      <c r="H58" s="5" t="s">
        <v>440</v>
      </c>
    </row>
    <row r="59" spans="1:8">
      <c r="A59" s="97"/>
      <c r="B59" s="72" t="s">
        <v>547</v>
      </c>
      <c r="C59" s="79" t="s">
        <v>548</v>
      </c>
      <c r="D59" s="5" t="s">
        <v>544</v>
      </c>
      <c r="E59" s="5" t="s">
        <v>438</v>
      </c>
      <c r="F59" s="5" t="s">
        <v>496</v>
      </c>
      <c r="G59" s="5" t="s">
        <v>514</v>
      </c>
      <c r="H59" s="5" t="s">
        <v>440</v>
      </c>
    </row>
    <row r="60" spans="1:8">
      <c r="A60" s="97"/>
      <c r="B60" s="104" t="s">
        <v>549</v>
      </c>
      <c r="C60" s="5" t="s">
        <v>550</v>
      </c>
      <c r="D60" s="5" t="s">
        <v>544</v>
      </c>
      <c r="E60" s="5" t="s">
        <v>438</v>
      </c>
      <c r="F60" s="5" t="s">
        <v>496</v>
      </c>
      <c r="G60" s="5" t="s">
        <v>514</v>
      </c>
      <c r="H60" s="5" t="s">
        <v>440</v>
      </c>
    </row>
    <row r="61" spans="1:8">
      <c r="A61" s="97"/>
      <c r="B61" s="104"/>
      <c r="C61" s="5" t="s">
        <v>551</v>
      </c>
      <c r="D61" s="5" t="s">
        <v>544</v>
      </c>
      <c r="E61" s="5" t="s">
        <v>438</v>
      </c>
      <c r="F61" s="5" t="s">
        <v>496</v>
      </c>
      <c r="G61" s="5" t="s">
        <v>514</v>
      </c>
      <c r="H61" s="5" t="s">
        <v>440</v>
      </c>
    </row>
    <row r="62" spans="1:8">
      <c r="A62" s="97"/>
      <c r="B62" s="104"/>
      <c r="C62" s="5" t="s">
        <v>552</v>
      </c>
      <c r="D62" s="5" t="s">
        <v>544</v>
      </c>
      <c r="E62" s="5" t="s">
        <v>438</v>
      </c>
      <c r="F62" s="5" t="s">
        <v>496</v>
      </c>
      <c r="G62" s="5" t="s">
        <v>514</v>
      </c>
      <c r="H62" s="5" t="s">
        <v>440</v>
      </c>
    </row>
    <row r="63" spans="1:8">
      <c r="A63" s="98" t="s">
        <v>553</v>
      </c>
      <c r="B63" s="74" t="s">
        <v>554</v>
      </c>
      <c r="C63" s="73" t="s">
        <v>539</v>
      </c>
      <c r="D63" s="73"/>
      <c r="E63" s="73"/>
      <c r="F63" s="80"/>
      <c r="G63" s="73"/>
      <c r="H63" s="73"/>
    </row>
    <row r="64" spans="1:8">
      <c r="A64" s="98"/>
      <c r="B64" s="74" t="s">
        <v>555</v>
      </c>
      <c r="C64" s="73" t="s">
        <v>539</v>
      </c>
      <c r="D64" s="73"/>
      <c r="E64" s="73"/>
      <c r="F64" s="80"/>
      <c r="G64" s="73"/>
      <c r="H64" s="73"/>
    </row>
    <row r="65" spans="1:8">
      <c r="A65" s="98"/>
      <c r="B65" s="74" t="s">
        <v>556</v>
      </c>
      <c r="C65" s="81" t="s">
        <v>539</v>
      </c>
      <c r="D65" s="73"/>
      <c r="E65" s="73"/>
      <c r="F65" s="80"/>
      <c r="G65" s="73"/>
      <c r="H65" s="73"/>
    </row>
    <row r="66" spans="1:8">
      <c r="A66" s="98"/>
      <c r="B66" s="74" t="s">
        <v>557</v>
      </c>
      <c r="C66" s="81" t="s">
        <v>539</v>
      </c>
      <c r="D66" s="73"/>
      <c r="E66" s="73"/>
      <c r="F66" s="80"/>
      <c r="G66" s="73"/>
      <c r="H66" s="73"/>
    </row>
    <row r="67" spans="1:8">
      <c r="A67" s="98"/>
      <c r="B67" s="74" t="s">
        <v>558</v>
      </c>
      <c r="C67" s="73" t="s">
        <v>539</v>
      </c>
      <c r="D67" s="73"/>
      <c r="E67" s="73"/>
      <c r="F67" s="80"/>
      <c r="G67" s="73"/>
      <c r="H67" s="73"/>
    </row>
    <row r="68" spans="1:8">
      <c r="A68" s="71"/>
      <c r="B68" s="71"/>
      <c r="C68" s="71"/>
    </row>
    <row r="69" spans="1:8">
      <c r="A69" s="71"/>
      <c r="B69" s="71"/>
      <c r="C69" s="71"/>
    </row>
    <row r="70" spans="1:8">
      <c r="A70" s="71"/>
      <c r="B70" s="71"/>
      <c r="C70" s="71"/>
    </row>
    <row r="71" spans="1:8">
      <c r="A71" s="71"/>
      <c r="B71" s="71"/>
      <c r="C71" s="71"/>
    </row>
    <row r="72" spans="1:8">
      <c r="A72" s="71"/>
      <c r="B72" s="71"/>
      <c r="C72" s="71"/>
    </row>
    <row r="73" spans="1:8">
      <c r="A73" s="71"/>
      <c r="B73" s="71"/>
      <c r="C73" s="71"/>
    </row>
    <row r="74" spans="1:8">
      <c r="A74" s="71"/>
      <c r="B74" s="71"/>
      <c r="C74" s="71"/>
    </row>
    <row r="75" spans="1:8">
      <c r="A75" s="71"/>
      <c r="B75" s="71"/>
      <c r="C75" s="71"/>
    </row>
    <row r="76" spans="1:8">
      <c r="A76" s="71"/>
      <c r="B76" s="71"/>
      <c r="C76" s="71"/>
    </row>
    <row r="77" spans="1:8">
      <c r="A77" s="71"/>
      <c r="B77" s="71"/>
      <c r="C77" s="71"/>
    </row>
    <row r="78" spans="1:8">
      <c r="A78" s="71"/>
      <c r="B78" s="71"/>
      <c r="C78" s="71"/>
    </row>
    <row r="79" spans="1:8">
      <c r="A79" s="71"/>
      <c r="B79" s="71"/>
      <c r="C79" s="71"/>
    </row>
    <row r="80" spans="1:8">
      <c r="A80" s="71"/>
      <c r="B80" s="71"/>
      <c r="C80" s="71"/>
    </row>
    <row r="81" spans="1:3">
      <c r="A81" s="71"/>
      <c r="B81" s="71"/>
      <c r="C81" s="71"/>
    </row>
    <row r="82" spans="1:3">
      <c r="A82" s="71"/>
      <c r="B82" s="71"/>
      <c r="C82" s="71"/>
    </row>
    <row r="83" spans="1:3">
      <c r="A83" s="71"/>
      <c r="B83" s="71"/>
      <c r="C83" s="71"/>
    </row>
    <row r="84" spans="1:3">
      <c r="A84" s="71"/>
      <c r="B84" s="71"/>
      <c r="C84" s="71"/>
    </row>
    <row r="85" spans="1:3">
      <c r="A85" s="71"/>
      <c r="B85" s="71"/>
      <c r="C85" s="71"/>
    </row>
    <row r="86" spans="1:3">
      <c r="A86" s="71"/>
      <c r="B86" s="71"/>
      <c r="C86" s="71"/>
    </row>
    <row r="87" spans="1:3">
      <c r="A87" s="71"/>
      <c r="B87" s="71"/>
      <c r="C87" s="71"/>
    </row>
    <row r="88" spans="1:3">
      <c r="A88" s="71"/>
      <c r="B88" s="71"/>
      <c r="C88" s="71"/>
    </row>
    <row r="89" spans="1:3">
      <c r="A89" s="71"/>
      <c r="B89" s="71"/>
      <c r="C89" s="71"/>
    </row>
    <row r="90" spans="1:3">
      <c r="A90" s="71"/>
      <c r="B90" s="71"/>
      <c r="C90" s="71"/>
    </row>
    <row r="91" spans="1:3">
      <c r="A91" s="71"/>
      <c r="B91" s="71"/>
      <c r="C91" s="71"/>
    </row>
    <row r="92" spans="1:3">
      <c r="A92" s="71"/>
      <c r="B92" s="71"/>
      <c r="C92" s="71"/>
    </row>
    <row r="93" spans="1:3">
      <c r="A93" s="71"/>
      <c r="B93" s="71"/>
      <c r="C93" s="71"/>
    </row>
    <row r="94" spans="1:3">
      <c r="A94" s="71"/>
      <c r="B94" s="71"/>
      <c r="C94" s="71"/>
    </row>
    <row r="95" spans="1:3">
      <c r="A95" s="71"/>
      <c r="B95" s="71"/>
      <c r="C95" s="71"/>
    </row>
    <row r="96" spans="1:3">
      <c r="A96" s="71"/>
      <c r="B96" s="71"/>
      <c r="C96" s="71"/>
    </row>
    <row r="97" spans="1:3">
      <c r="A97" s="71"/>
      <c r="B97" s="71"/>
      <c r="C97" s="71"/>
    </row>
    <row r="98" spans="1:3">
      <c r="A98" s="71"/>
      <c r="B98" s="71"/>
      <c r="C98" s="71"/>
    </row>
    <row r="99" spans="1:3">
      <c r="A99" s="71"/>
      <c r="B99" s="71"/>
      <c r="C99" s="71"/>
    </row>
  </sheetData>
  <mergeCells count="27">
    <mergeCell ref="A2:A8"/>
    <mergeCell ref="A9:A15"/>
    <mergeCell ref="B41:B46"/>
    <mergeCell ref="A16:A18"/>
    <mergeCell ref="B17:B18"/>
    <mergeCell ref="A19:A24"/>
    <mergeCell ref="A25:A40"/>
    <mergeCell ref="A41:A50"/>
    <mergeCell ref="B19:B21"/>
    <mergeCell ref="B22:B24"/>
    <mergeCell ref="B25:B28"/>
    <mergeCell ref="B9:B13"/>
    <mergeCell ref="B36:B37"/>
    <mergeCell ref="B3:B5"/>
    <mergeCell ref="A63:A67"/>
    <mergeCell ref="B30:B31"/>
    <mergeCell ref="B32:B33"/>
    <mergeCell ref="B47:B50"/>
    <mergeCell ref="B56:B58"/>
    <mergeCell ref="B51:B53"/>
    <mergeCell ref="B60:B62"/>
    <mergeCell ref="C12:C13"/>
    <mergeCell ref="C25:C28"/>
    <mergeCell ref="A51:A53"/>
    <mergeCell ref="A54:A55"/>
    <mergeCell ref="A56:A62"/>
    <mergeCell ref="C41:C42"/>
  </mergeCells>
  <conditionalFormatting sqref="E2:H10 E11:F11 H11 E12:H67">
    <cfRule type="containsText" dxfId="4" priority="5" operator="containsText" text="Not started">
      <formula>NOT(ISERROR(SEARCH("Not started",E2)))</formula>
    </cfRule>
  </conditionalFormatting>
  <conditionalFormatting sqref="E63:F67 E54:F55 E2:G10 E56:G62 E11:F11 E12:G53">
    <cfRule type="containsText" dxfId="3" priority="4" operator="containsText" text="Found">
      <formula>NOT(ISERROR(SEARCH("Found",E2)))</formula>
    </cfRule>
  </conditionalFormatting>
  <conditionalFormatting sqref="F63:F67 F54:F55 F56:G62 F2:G10 F11 F12:G53">
    <cfRule type="containsText" dxfId="2" priority="1" operator="containsText" text="Manual Input">
      <formula>NOT(ISERROR(SEARCH("Manual Input",F2)))</formula>
    </cfRule>
    <cfRule type="containsText" dxfId="1" priority="2" operator="containsText" text="Final">
      <formula>NOT(ISERROR(SEARCH("Final",F2)))</formula>
    </cfRule>
    <cfRule type="containsText" dxfId="0" priority="3" operator="containsText" text="Draft">
      <formula>NOT(ISERROR(SEARCH("Draft",F2)))</formula>
    </cfRule>
  </conditionalFormatting>
  <dataValidations count="4">
    <dataValidation type="list" allowBlank="1" showInputMessage="1" showErrorMessage="1" sqref="E2:E67" xr:uid="{5A392640-5EC0-479D-B085-C909F4DA8FC0}">
      <formula1>"Not started, Found – product-specific, Found – generic"</formula1>
    </dataValidation>
    <dataValidation type="list" allowBlank="1" showInputMessage="1" showErrorMessage="1" sqref="F2:F67" xr:uid="{A242D6DC-F925-42C4-AF23-B66C17FE7146}">
      <formula1>"Not started, Draft, Final, Manual Input"</formula1>
    </dataValidation>
    <dataValidation type="list" allowBlank="1" showInputMessage="1" showErrorMessage="1" sqref="H2:H53 H56:H62" xr:uid="{5CA40FDF-0753-4935-A306-8FC4E28FC579}">
      <formula1>"Not started, Implemented, Tested"</formula1>
    </dataValidation>
    <dataValidation allowBlank="1" showInputMessage="1" showErrorMessage="1" sqref="G56:G62 G2:G10 G12:G53" xr:uid="{56C590C7-0969-4F71-B561-20FE39C668DD}"/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4568ba-f362-4e84-99d7-dc60d25416b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12C2B262A7D41BAA1C1A05186961E" ma:contentTypeVersion="9" ma:contentTypeDescription="Create a new document." ma:contentTypeScope="" ma:versionID="c5712268625b41a295c1c13b9cc08810">
  <xsd:schema xmlns:xsd="http://www.w3.org/2001/XMLSchema" xmlns:xs="http://www.w3.org/2001/XMLSchema" xmlns:p="http://schemas.microsoft.com/office/2006/metadata/properties" xmlns:ns2="9a4568ba-f362-4e84-99d7-dc60d25416b3" targetNamespace="http://schemas.microsoft.com/office/2006/metadata/properties" ma:root="true" ma:fieldsID="2284d5a418b13d67f420d8f33de3453b" ns2:_="">
    <xsd:import namespace="9a4568ba-f362-4e84-99d7-dc60d25416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568ba-f362-4e84-99d7-dc60d25416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48a701-fb1a-48b4-b8a8-71c004994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6314E6-E56A-4F09-8784-AC37D846945E}"/>
</file>

<file path=customXml/itemProps2.xml><?xml version="1.0" encoding="utf-8"?>
<ds:datastoreItem xmlns:ds="http://schemas.openxmlformats.org/officeDocument/2006/customXml" ds:itemID="{CA7453DC-FA4C-4F01-8A9A-261F5691678A}"/>
</file>

<file path=customXml/itemProps3.xml><?xml version="1.0" encoding="utf-8"?>
<ds:datastoreItem xmlns:ds="http://schemas.openxmlformats.org/officeDocument/2006/customXml" ds:itemID="{A8193672-E481-45D2-9A2E-E1AAE3D7FB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2026-07-06T00:21:05Z</dcterms:created>
  <dcterms:modified xsi:type="dcterms:W3CDTF">2026-07-16T02:11:49Z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0x010100E9B12C2B262A7D41BAA1C1A05186961E</vt:lpwstr>
  </property>
  <property fmtid="{D5CDD505-2E9C-101B-9397-08002B2CF9AE}" pid="3" name="MediaServiceImageTags">
    <vt:lpwstr/>
  </property>
</Properties>
</file>